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Tria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bout this 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8E1"/>
      </patternFill>
    </fill>
    <fill>
      <patternFill patternType="solid">
        <fgColor rgb="00EAF1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1" pivotButton="0" quotePrefix="0" xfId="0"/>
    <xf numFmtId="1" fontId="5" fillId="4" borderId="1" pivotButton="0" quotePrefix="0" xfId="0"/>
    <xf numFmtId="165" fontId="5" fillId="4" borderId="1" pivotButton="0" quotePrefix="0" xfId="0"/>
    <xf numFmtId="0" fontId="2" fillId="0" borderId="0" applyAlignment="1" pivotButton="0" quotePrefix="0" xfId="0">
      <alignment vertical="top" wrapText="1"/>
    </xf>
    <xf numFmtId="165" fontId="2" fillId="4" borderId="1" pivotButton="0" quotePrefix="0" xfId="0"/>
    <xf numFmtId="165" fontId="2" fillId="3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8" customWidth="1" min="4" max="4"/>
    <col width="12" customWidth="1" min="5" max="5"/>
    <col width="14" customWidth="1" min="6" max="6"/>
    <col width="36" customWidth="1" min="7" max="7"/>
    <col width="32" customWidth="1" min="8" max="8"/>
  </cols>
  <sheetData>
    <row r="1">
      <c r="A1" s="1" t="inlineStr">
        <is>
          <t>Baseline: how the task goes now, before Copilot</t>
        </is>
      </c>
    </row>
    <row r="2">
      <c r="A2" s="2" t="inlineStr">
        <is>
          <t>Task:</t>
        </is>
      </c>
    </row>
    <row r="3">
      <c r="A3" s="3" t="inlineStr">
        <is>
          <t>Time the task with a timer, from start to finish, including finding the information. Record at least three occasions. Add rework again a week later.</t>
        </is>
      </c>
    </row>
    <row r="5" ht="46" customHeight="1">
      <c r="A5" s="4" t="inlineStr">
        <is>
          <t>Occasion</t>
        </is>
      </c>
      <c r="B5" s="4" t="inlineStr">
        <is>
          <t>Date</t>
        </is>
      </c>
      <c r="C5" s="4" t="inlineStr">
        <is>
          <t>Minutes, start to finish</t>
        </is>
      </c>
      <c r="D5" s="4" t="inlineStr">
        <is>
          <t>Rework after sending (minutes, 0 if none)</t>
        </is>
      </c>
      <c r="E5" s="4" t="inlineStr">
        <is>
          <t>Errors found by me</t>
        </is>
      </c>
      <c r="F5" s="4" t="inlineStr">
        <is>
          <t>Errors found by the recipient</t>
        </is>
      </c>
      <c r="G5" s="4" t="inlineStr">
        <is>
          <t>What the recipient said</t>
        </is>
      </c>
      <c r="H5" s="4" t="inlineStr">
        <is>
          <t>Notes</t>
        </is>
      </c>
    </row>
    <row r="6">
      <c r="A6" s="5" t="n">
        <v>1</v>
      </c>
      <c r="B6" s="6" t="n"/>
      <c r="C6" s="7" t="n"/>
      <c r="D6" s="7" t="n"/>
      <c r="E6" s="7" t="n"/>
      <c r="F6" s="7" t="n"/>
      <c r="G6" s="7" t="n"/>
      <c r="H6" s="7" t="n"/>
    </row>
    <row r="7">
      <c r="A7" s="5" t="n">
        <v>2</v>
      </c>
      <c r="B7" s="6" t="n"/>
      <c r="C7" s="7" t="n"/>
      <c r="D7" s="7" t="n"/>
      <c r="E7" s="7" t="n"/>
      <c r="F7" s="7" t="n"/>
      <c r="G7" s="7" t="n"/>
      <c r="H7" s="7" t="n"/>
    </row>
    <row r="8">
      <c r="A8" s="5" t="n">
        <v>3</v>
      </c>
      <c r="B8" s="6" t="n"/>
      <c r="C8" s="7" t="n"/>
      <c r="D8" s="7" t="n"/>
      <c r="E8" s="7" t="n"/>
      <c r="F8" s="7" t="n"/>
      <c r="G8" s="7" t="n"/>
      <c r="H8" s="7" t="n"/>
    </row>
    <row r="9">
      <c r="A9" s="5" t="n">
        <v>4</v>
      </c>
      <c r="B9" s="6" t="n"/>
      <c r="C9" s="7" t="n"/>
      <c r="D9" s="7" t="n"/>
      <c r="E9" s="7" t="n"/>
      <c r="F9" s="7" t="n"/>
      <c r="G9" s="7" t="n"/>
      <c r="H9" s="7" t="n"/>
    </row>
    <row r="10">
      <c r="A10" s="5" t="n">
        <v>5</v>
      </c>
      <c r="B10" s="6" t="n"/>
      <c r="C10" s="7" t="n"/>
      <c r="D10" s="7" t="n"/>
      <c r="E10" s="7" t="n"/>
      <c r="F10" s="7" t="n"/>
      <c r="G10" s="7" t="n"/>
      <c r="H10" s="7" t="n"/>
    </row>
    <row r="11">
      <c r="A11" s="5" t="n">
        <v>6</v>
      </c>
      <c r="B11" s="6" t="n"/>
      <c r="C11" s="7" t="n"/>
      <c r="D11" s="7" t="n"/>
      <c r="E11" s="7" t="n"/>
      <c r="F11" s="7" t="n"/>
      <c r="G11" s="7" t="n"/>
      <c r="H11" s="7" t="n"/>
    </row>
    <row r="12">
      <c r="A12" s="5" t="n">
        <v>7</v>
      </c>
      <c r="B12" s="6" t="n"/>
      <c r="C12" s="7" t="n"/>
      <c r="D12" s="7" t="n"/>
      <c r="E12" s="7" t="n"/>
      <c r="F12" s="7" t="n"/>
      <c r="G12" s="7" t="n"/>
      <c r="H12" s="7" t="n"/>
    </row>
    <row r="13">
      <c r="A13" s="5" t="n">
        <v>8</v>
      </c>
      <c r="B13" s="6" t="n"/>
      <c r="C13" s="7" t="n"/>
      <c r="D13" s="7" t="n"/>
      <c r="E13" s="7" t="n"/>
      <c r="F13" s="7" t="n"/>
      <c r="G13" s="7" t="n"/>
      <c r="H13" s="7" t="n"/>
    </row>
    <row r="14">
      <c r="A14" s="5" t="n">
        <v>9</v>
      </c>
      <c r="B14" s="6" t="n"/>
      <c r="C14" s="7" t="n"/>
      <c r="D14" s="7" t="n"/>
      <c r="E14" s="7" t="n"/>
      <c r="F14" s="7" t="n"/>
      <c r="G14" s="7" t="n"/>
      <c r="H14" s="7" t="n"/>
    </row>
    <row r="15">
      <c r="A15" s="5" t="n">
        <v>10</v>
      </c>
      <c r="B15" s="6" t="n"/>
      <c r="C15" s="7" t="n"/>
      <c r="D15" s="7" t="n"/>
      <c r="E15" s="7" t="n"/>
      <c r="F15" s="7" t="n"/>
      <c r="G15" s="7" t="n"/>
      <c r="H1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0" customWidth="1" min="4" max="4"/>
    <col width="11" customWidth="1" min="5" max="5"/>
    <col width="10" customWidth="1" min="6" max="6"/>
    <col width="12" customWidth="1" min="7" max="7"/>
    <col width="10" customWidth="1" min="8" max="8"/>
    <col width="14" customWidth="1" min="9" max="9"/>
    <col width="11" customWidth="1" min="10" max="10"/>
    <col width="13" customWidth="1" min="11" max="11"/>
    <col width="12" customWidth="1" min="12" max="12"/>
    <col width="18" customWidth="1" min="13" max="13"/>
    <col width="42" customWidth="1" min="14" max="14"/>
  </cols>
  <sheetData>
    <row r="1">
      <c r="A1" s="1" t="inlineStr">
        <is>
          <t>Trial: the same task with Copilot, including everything it costs you</t>
        </is>
      </c>
    </row>
    <row r="2">
      <c r="A2" s="2" t="inlineStr">
        <is>
          <t>Routine:</t>
        </is>
      </c>
    </row>
    <row r="3">
      <c r="A3" s="3" t="inlineStr">
        <is>
          <t>Time each part separately. Count waiting time only if you could not do other work. Record every run, including bad ones. Total is calculated.</t>
        </is>
      </c>
    </row>
    <row r="5" ht="46" customHeight="1">
      <c r="A5" s="4" t="inlineStr">
        <is>
          <t>Run</t>
        </is>
      </c>
      <c r="B5" s="4" t="inlineStr">
        <is>
          <t>Date</t>
        </is>
      </c>
      <c r="C5" s="4" t="inlineStr">
        <is>
          <t>Preparing (min)</t>
        </is>
      </c>
      <c r="D5" s="4" t="inlineStr">
        <is>
          <t>Waiting (min)</t>
        </is>
      </c>
      <c r="E5" s="4" t="inlineStr">
        <is>
          <t>Reviewing (min)</t>
        </is>
      </c>
      <c r="F5" s="4" t="inlineStr">
        <is>
          <t>Fixing (min)</t>
        </is>
      </c>
      <c r="G5" s="4" t="inlineStr">
        <is>
          <t>Maintaining (min)</t>
        </is>
      </c>
      <c r="H5" s="4" t="inlineStr">
        <is>
          <t>Total (min)</t>
        </is>
      </c>
      <c r="I5" s="4" t="inlineStr">
        <is>
          <t>Rework after sending (min)</t>
        </is>
      </c>
      <c r="J5" s="4" t="inlineStr">
        <is>
          <t>Errors found by me</t>
        </is>
      </c>
      <c r="K5" s="4" t="inlineStr">
        <is>
          <t>Errors found by the recipient</t>
        </is>
      </c>
      <c r="L5" s="4" t="inlineStr">
        <is>
          <t>Credits used (/cost)</t>
        </is>
      </c>
      <c r="M5" s="4" t="inlineStr">
        <is>
          <t>Recipient's view</t>
        </is>
      </c>
      <c r="N5" s="4" t="inlineStr">
        <is>
          <t>Notes</t>
        </is>
      </c>
    </row>
    <row r="6">
      <c r="A6" s="5" t="n">
        <v>1</v>
      </c>
      <c r="B6" s="6" t="n"/>
      <c r="C6" s="7" t="n"/>
      <c r="D6" s="7" t="n"/>
      <c r="E6" s="7" t="n"/>
      <c r="F6" s="7" t="n"/>
      <c r="G6" s="7" t="n"/>
      <c r="H6" s="8">
        <f>IF(COUNT(C6:G6)=0,"",SUM(C6:G6))</f>
        <v/>
      </c>
      <c r="I6" s="7" t="n"/>
      <c r="J6" s="7" t="n"/>
      <c r="K6" s="7" t="n"/>
      <c r="L6" s="7" t="n"/>
      <c r="M6" s="7" t="n"/>
      <c r="N6" s="7" t="n"/>
    </row>
    <row r="7">
      <c r="A7" s="5" t="n">
        <v>2</v>
      </c>
      <c r="B7" s="6" t="n"/>
      <c r="C7" s="7" t="n"/>
      <c r="D7" s="7" t="n"/>
      <c r="E7" s="7" t="n"/>
      <c r="F7" s="7" t="n"/>
      <c r="G7" s="7" t="n"/>
      <c r="H7" s="8">
        <f>IF(COUNT(C7:G7)=0,"",SUM(C7:G7))</f>
        <v/>
      </c>
      <c r="I7" s="7" t="n"/>
      <c r="J7" s="7" t="n"/>
      <c r="K7" s="7" t="n"/>
      <c r="L7" s="7" t="n"/>
      <c r="M7" s="7" t="n"/>
      <c r="N7" s="7" t="n"/>
    </row>
    <row r="8">
      <c r="A8" s="5" t="n">
        <v>3</v>
      </c>
      <c r="B8" s="6" t="n"/>
      <c r="C8" s="7" t="n"/>
      <c r="D8" s="7" t="n"/>
      <c r="E8" s="7" t="n"/>
      <c r="F8" s="7" t="n"/>
      <c r="G8" s="7" t="n"/>
      <c r="H8" s="8">
        <f>IF(COUNT(C8:G8)=0,"",SUM(C8:G8))</f>
        <v/>
      </c>
      <c r="I8" s="7" t="n"/>
      <c r="J8" s="7" t="n"/>
      <c r="K8" s="7" t="n"/>
      <c r="L8" s="7" t="n"/>
      <c r="M8" s="7" t="n"/>
      <c r="N8" s="7" t="n"/>
    </row>
    <row r="9">
      <c r="A9" s="5" t="n">
        <v>4</v>
      </c>
      <c r="B9" s="6" t="n"/>
      <c r="C9" s="7" t="n"/>
      <c r="D9" s="7" t="n"/>
      <c r="E9" s="7" t="n"/>
      <c r="F9" s="7" t="n"/>
      <c r="G9" s="7" t="n"/>
      <c r="H9" s="8">
        <f>IF(COUNT(C9:G9)=0,"",SUM(C9:G9))</f>
        <v/>
      </c>
      <c r="I9" s="7" t="n"/>
      <c r="J9" s="7" t="n"/>
      <c r="K9" s="7" t="n"/>
      <c r="L9" s="7" t="n"/>
      <c r="M9" s="7" t="n"/>
      <c r="N9" s="7" t="n"/>
    </row>
    <row r="10">
      <c r="A10" s="5" t="n">
        <v>5</v>
      </c>
      <c r="B10" s="6" t="n"/>
      <c r="C10" s="7" t="n"/>
      <c r="D10" s="7" t="n"/>
      <c r="E10" s="7" t="n"/>
      <c r="F10" s="7" t="n"/>
      <c r="G10" s="7" t="n"/>
      <c r="H10" s="8">
        <f>IF(COUNT(C10:G10)=0,"",SUM(C10:G10))</f>
        <v/>
      </c>
      <c r="I10" s="7" t="n"/>
      <c r="J10" s="7" t="n"/>
      <c r="K10" s="7" t="n"/>
      <c r="L10" s="7" t="n"/>
      <c r="M10" s="7" t="n"/>
      <c r="N10" s="7" t="n"/>
    </row>
    <row r="11">
      <c r="A11" s="5" t="n">
        <v>6</v>
      </c>
      <c r="B11" s="6" t="n"/>
      <c r="C11" s="7" t="n"/>
      <c r="D11" s="7" t="n"/>
      <c r="E11" s="7" t="n"/>
      <c r="F11" s="7" t="n"/>
      <c r="G11" s="7" t="n"/>
      <c r="H11" s="8">
        <f>IF(COUNT(C11:G11)=0,"",SUM(C11:G11))</f>
        <v/>
      </c>
      <c r="I11" s="7" t="n"/>
      <c r="J11" s="7" t="n"/>
      <c r="K11" s="7" t="n"/>
      <c r="L11" s="7" t="n"/>
      <c r="M11" s="7" t="n"/>
      <c r="N11" s="7" t="n"/>
    </row>
    <row r="12">
      <c r="A12" s="5" t="n">
        <v>7</v>
      </c>
      <c r="B12" s="6" t="n"/>
      <c r="C12" s="7" t="n"/>
      <c r="D12" s="7" t="n"/>
      <c r="E12" s="7" t="n"/>
      <c r="F12" s="7" t="n"/>
      <c r="G12" s="7" t="n"/>
      <c r="H12" s="8">
        <f>IF(COUNT(C12:G12)=0,"",SUM(C12:G12))</f>
        <v/>
      </c>
      <c r="I12" s="7" t="n"/>
      <c r="J12" s="7" t="n"/>
      <c r="K12" s="7" t="n"/>
      <c r="L12" s="7" t="n"/>
      <c r="M12" s="7" t="n"/>
      <c r="N12" s="7" t="n"/>
    </row>
    <row r="13">
      <c r="A13" s="5" t="n">
        <v>8</v>
      </c>
      <c r="B13" s="6" t="n"/>
      <c r="C13" s="7" t="n"/>
      <c r="D13" s="7" t="n"/>
      <c r="E13" s="7" t="n"/>
      <c r="F13" s="7" t="n"/>
      <c r="G13" s="7" t="n"/>
      <c r="H13" s="8">
        <f>IF(COUNT(C13:G13)=0,"",SUM(C13:G13))</f>
        <v/>
      </c>
      <c r="I13" s="7" t="n"/>
      <c r="J13" s="7" t="n"/>
      <c r="K13" s="7" t="n"/>
      <c r="L13" s="7" t="n"/>
      <c r="M13" s="7" t="n"/>
      <c r="N13" s="7" t="n"/>
    </row>
    <row r="14">
      <c r="A14" s="5" t="n">
        <v>9</v>
      </c>
      <c r="B14" s="6" t="n"/>
      <c r="C14" s="7" t="n"/>
      <c r="D14" s="7" t="n"/>
      <c r="E14" s="7" t="n"/>
      <c r="F14" s="7" t="n"/>
      <c r="G14" s="7" t="n"/>
      <c r="H14" s="8">
        <f>IF(COUNT(C14:G14)=0,"",SUM(C14:G14))</f>
        <v/>
      </c>
      <c r="I14" s="7" t="n"/>
      <c r="J14" s="7" t="n"/>
      <c r="K14" s="7" t="n"/>
      <c r="L14" s="7" t="n"/>
      <c r="M14" s="7" t="n"/>
      <c r="N14" s="7" t="n"/>
    </row>
    <row r="15">
      <c r="A15" s="5" t="n">
        <v>10</v>
      </c>
      <c r="B15" s="6" t="n"/>
      <c r="C15" s="7" t="n"/>
      <c r="D15" s="7" t="n"/>
      <c r="E15" s="7" t="n"/>
      <c r="F15" s="7" t="n"/>
      <c r="G15" s="7" t="n"/>
      <c r="H15" s="8">
        <f>IF(COUNT(C15:G15)=0,"",SUM(C15:G15))</f>
        <v/>
      </c>
      <c r="I15" s="7" t="n"/>
      <c r="J15" s="7" t="n"/>
      <c r="K15" s="7" t="n"/>
      <c r="L15" s="7" t="n"/>
      <c r="M15" s="7" t="n"/>
      <c r="N15" s="7" t="n"/>
    </row>
    <row r="16">
      <c r="A16" s="5" t="n">
        <v>11</v>
      </c>
      <c r="B16" s="6" t="n"/>
      <c r="C16" s="7" t="n"/>
      <c r="D16" s="7" t="n"/>
      <c r="E16" s="7" t="n"/>
      <c r="F16" s="7" t="n"/>
      <c r="G16" s="7" t="n"/>
      <c r="H16" s="8">
        <f>IF(COUNT(C16:G16)=0,"",SUM(C16:G16))</f>
        <v/>
      </c>
      <c r="I16" s="7" t="n"/>
      <c r="J16" s="7" t="n"/>
      <c r="K16" s="7" t="n"/>
      <c r="L16" s="7" t="n"/>
      <c r="M16" s="7" t="n"/>
      <c r="N16" s="7" t="n"/>
    </row>
    <row r="17">
      <c r="A17" s="5" t="n">
        <v>12</v>
      </c>
      <c r="B17" s="6" t="n"/>
      <c r="C17" s="7" t="n"/>
      <c r="D17" s="7" t="n"/>
      <c r="E17" s="7" t="n"/>
      <c r="F17" s="7" t="n"/>
      <c r="G17" s="7" t="n"/>
      <c r="H17" s="8">
        <f>IF(COUNT(C17:G17)=0,"",SUM(C17:G17))</f>
        <v/>
      </c>
      <c r="I17" s="7" t="n"/>
      <c r="J17" s="7" t="n"/>
      <c r="K17" s="7" t="n"/>
      <c r="L17" s="7" t="n"/>
      <c r="M17" s="7" t="n"/>
      <c r="N17" s="7" t="n"/>
    </row>
    <row r="18">
      <c r="A18" s="5" t="n">
        <v>13</v>
      </c>
      <c r="B18" s="6" t="n"/>
      <c r="C18" s="7" t="n"/>
      <c r="D18" s="7" t="n"/>
      <c r="E18" s="7" t="n"/>
      <c r="F18" s="7" t="n"/>
      <c r="G18" s="7" t="n"/>
      <c r="H18" s="8">
        <f>IF(COUNT(C18:G18)=0,"",SUM(C18:G18))</f>
        <v/>
      </c>
      <c r="I18" s="7" t="n"/>
      <c r="J18" s="7" t="n"/>
      <c r="K18" s="7" t="n"/>
      <c r="L18" s="7" t="n"/>
      <c r="M18" s="7" t="n"/>
      <c r="N18" s="7" t="n"/>
    </row>
    <row r="19">
      <c r="A19" s="5" t="n">
        <v>14</v>
      </c>
      <c r="B19" s="6" t="n"/>
      <c r="C19" s="7" t="n"/>
      <c r="D19" s="7" t="n"/>
      <c r="E19" s="7" t="n"/>
      <c r="F19" s="7" t="n"/>
      <c r="G19" s="7" t="n"/>
      <c r="H19" s="8">
        <f>IF(COUNT(C19:G19)=0,"",SUM(C19:G19))</f>
        <v/>
      </c>
      <c r="I19" s="7" t="n"/>
      <c r="J19" s="7" t="n"/>
      <c r="K19" s="7" t="n"/>
      <c r="L19" s="7" t="n"/>
      <c r="M19" s="7" t="n"/>
      <c r="N19" s="7" t="n"/>
    </row>
    <row r="20">
      <c r="A20" s="5" t="n">
        <v>15</v>
      </c>
      <c r="B20" s="6" t="n"/>
      <c r="C20" s="7" t="n"/>
      <c r="D20" s="7" t="n"/>
      <c r="E20" s="7" t="n"/>
      <c r="F20" s="7" t="n"/>
      <c r="G20" s="7" t="n"/>
      <c r="H20" s="8">
        <f>IF(COUNT(C20:G20)=0,"",SUM(C20:G20))</f>
        <v/>
      </c>
      <c r="I20" s="7" t="n"/>
      <c r="J20" s="7" t="n"/>
      <c r="K20" s="7" t="n"/>
      <c r="L20" s="7" t="n"/>
      <c r="M20" s="7" t="n"/>
      <c r="N20" s="7" t="n"/>
    </row>
    <row r="21">
      <c r="A21" s="5" t="n">
        <v>16</v>
      </c>
      <c r="B21" s="6" t="n"/>
      <c r="C21" s="7" t="n"/>
      <c r="D21" s="7" t="n"/>
      <c r="E21" s="7" t="n"/>
      <c r="F21" s="7" t="n"/>
      <c r="G21" s="7" t="n"/>
      <c r="H21" s="8">
        <f>IF(COUNT(C21:G21)=0,"",SUM(C21:G21))</f>
        <v/>
      </c>
      <c r="I21" s="7" t="n"/>
      <c r="J21" s="7" t="n"/>
      <c r="K21" s="7" t="n"/>
      <c r="L21" s="7" t="n"/>
      <c r="M21" s="7" t="n"/>
      <c r="N21" s="7" t="n"/>
    </row>
    <row r="22">
      <c r="A22" s="5" t="n">
        <v>17</v>
      </c>
      <c r="B22" s="6" t="n"/>
      <c r="C22" s="7" t="n"/>
      <c r="D22" s="7" t="n"/>
      <c r="E22" s="7" t="n"/>
      <c r="F22" s="7" t="n"/>
      <c r="G22" s="7" t="n"/>
      <c r="H22" s="8">
        <f>IF(COUNT(C22:G22)=0,"",SUM(C22:G22))</f>
        <v/>
      </c>
      <c r="I22" s="7" t="n"/>
      <c r="J22" s="7" t="n"/>
      <c r="K22" s="7" t="n"/>
      <c r="L22" s="7" t="n"/>
      <c r="M22" s="7" t="n"/>
      <c r="N22" s="7" t="n"/>
    </row>
    <row r="23">
      <c r="A23" s="5" t="n">
        <v>18</v>
      </c>
      <c r="B23" s="6" t="n"/>
      <c r="C23" s="7" t="n"/>
      <c r="D23" s="7" t="n"/>
      <c r="E23" s="7" t="n"/>
      <c r="F23" s="7" t="n"/>
      <c r="G23" s="7" t="n"/>
      <c r="H23" s="8">
        <f>IF(COUNT(C23:G23)=0,"",SUM(C23:G23))</f>
        <v/>
      </c>
      <c r="I23" s="7" t="n"/>
      <c r="J23" s="7" t="n"/>
      <c r="K23" s="7" t="n"/>
      <c r="L23" s="7" t="n"/>
      <c r="M23" s="7" t="n"/>
      <c r="N23" s="7" t="n"/>
    </row>
    <row r="24">
      <c r="A24" s="5" t="n">
        <v>19</v>
      </c>
      <c r="B24" s="6" t="n"/>
      <c r="C24" s="7" t="n"/>
      <c r="D24" s="7" t="n"/>
      <c r="E24" s="7" t="n"/>
      <c r="F24" s="7" t="n"/>
      <c r="G24" s="7" t="n"/>
      <c r="H24" s="8">
        <f>IF(COUNT(C24:G24)=0,"",SUM(C24:G24))</f>
        <v/>
      </c>
      <c r="I24" s="7" t="n"/>
      <c r="J24" s="7" t="n"/>
      <c r="K24" s="7" t="n"/>
      <c r="L24" s="7" t="n"/>
      <c r="M24" s="7" t="n"/>
      <c r="N24" s="7" t="n"/>
    </row>
    <row r="25">
      <c r="A25" s="5" t="n">
        <v>20</v>
      </c>
      <c r="B25" s="6" t="n"/>
      <c r="C25" s="7" t="n"/>
      <c r="D25" s="7" t="n"/>
      <c r="E25" s="7" t="n"/>
      <c r="F25" s="7" t="n"/>
      <c r="G25" s="7" t="n"/>
      <c r="H25" s="8">
        <f>IF(COUNT(C25:G25)=0,"",SUM(C25:G25))</f>
        <v/>
      </c>
      <c r="I25" s="7" t="n"/>
      <c r="J25" s="7" t="n"/>
      <c r="K25" s="7" t="n"/>
      <c r="L25" s="7" t="n"/>
      <c r="M25" s="7" t="n"/>
      <c r="N25" s="7" t="n"/>
    </row>
  </sheetData>
  <dataValidations count="1">
    <dataValidation sqref="M6:M25" showDropDown="0" showInputMessage="0" showErrorMessage="0" allowBlank="1" type="list">
      <formula1>"More useful,About the same,Less useful"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24" customWidth="1" min="4" max="4"/>
  </cols>
  <sheetData>
    <row r="1">
      <c r="A1" s="1" t="inlineStr">
        <is>
          <t>Summary: baseline compared with trial</t>
        </is>
      </c>
    </row>
    <row r="2">
      <c r="A2" s="3" t="inlineStr">
        <is>
          <t>Everything on this sheet is calculated from the Baseline and Trial sheets, except the yellow cells.</t>
        </is>
      </c>
    </row>
    <row r="4" ht="32" customHeight="1">
      <c r="A4" s="4" t="inlineStr">
        <is>
          <t>Measure</t>
        </is>
      </c>
      <c r="B4" s="4" t="inlineStr">
        <is>
          <t>Baseline (manual)</t>
        </is>
      </c>
      <c r="C4" s="4" t="inlineStr">
        <is>
          <t>Trial (with Copilot)</t>
        </is>
      </c>
      <c r="D4" s="4" t="inlineStr">
        <is>
          <t>Difference (trial minus baseline)</t>
        </is>
      </c>
    </row>
    <row r="5">
      <c r="A5" s="9" t="inlineStr">
        <is>
          <t>Occasions recorded</t>
        </is>
      </c>
      <c r="B5" s="10">
        <f>COUNT(Baseline!C6:C15)</f>
        <v/>
      </c>
      <c r="C5" s="10">
        <f>COUNT(Trial!H6:H25)</f>
        <v/>
      </c>
      <c r="D5" s="11" t="n"/>
    </row>
    <row r="6">
      <c r="A6" s="9" t="inlineStr">
        <is>
          <t>Average time each occasion (minutes)</t>
        </is>
      </c>
      <c r="B6" s="11">
        <f>IFERROR(AVERAGE(Baseline!C6:C15),"")</f>
        <v/>
      </c>
      <c r="C6" s="11">
        <f>IFERROR(AVERAGE(Trial!H6:H25),"")</f>
        <v/>
      </c>
      <c r="D6" s="11">
        <f>IF(OR(B6="",C6=""),"",C6-B6)</f>
        <v/>
      </c>
    </row>
    <row r="7">
      <c r="A7" s="9" t="inlineStr">
        <is>
          <t xml:space="preserve">   of which preparing</t>
        </is>
      </c>
      <c r="B7" s="11" t="n"/>
      <c r="C7" s="11">
        <f>IFERROR(AVERAGE(Trial!C6:C25),"")</f>
        <v/>
      </c>
      <c r="D7" s="11" t="n"/>
    </row>
    <row r="8">
      <c r="A8" s="9" t="inlineStr">
        <is>
          <t xml:space="preserve">   of which waiting</t>
        </is>
      </c>
      <c r="B8" s="11" t="n"/>
      <c r="C8" s="11">
        <f>IFERROR(AVERAGE(Trial!D6:D25),"")</f>
        <v/>
      </c>
      <c r="D8" s="11" t="n"/>
    </row>
    <row r="9">
      <c r="A9" s="9" t="inlineStr">
        <is>
          <t xml:space="preserve">   of which reviewing</t>
        </is>
      </c>
      <c r="B9" s="11" t="n"/>
      <c r="C9" s="11">
        <f>IFERROR(AVERAGE(Trial!E6:E25),"")</f>
        <v/>
      </c>
      <c r="D9" s="11" t="n"/>
    </row>
    <row r="10">
      <c r="A10" s="9" t="inlineStr">
        <is>
          <t xml:space="preserve">   of which fixing</t>
        </is>
      </c>
      <c r="B10" s="11" t="n"/>
      <c r="C10" s="11">
        <f>IFERROR(AVERAGE(Trial!F6:F25),"")</f>
        <v/>
      </c>
      <c r="D10" s="11" t="n"/>
    </row>
    <row r="11">
      <c r="A11" s="9" t="inlineStr">
        <is>
          <t xml:space="preserve">   of which maintaining (spread across runs)</t>
        </is>
      </c>
      <c r="B11" s="11" t="n"/>
      <c r="C11" s="11">
        <f>IFERROR(AVERAGE(Trial!G6:G25),"")</f>
        <v/>
      </c>
      <c r="D11" s="11" t="n"/>
    </row>
    <row r="12">
      <c r="A12" s="9" t="inlineStr">
        <is>
          <t>Rework after sending, minutes per occasion</t>
        </is>
      </c>
      <c r="B12" s="11">
        <f>IFERROR(SUM(Baseline!D6:D15)/COUNT(Baseline!C6:C15),"")</f>
        <v/>
      </c>
      <c r="C12" s="11">
        <f>IFERROR(SUM(Trial!I6:I25)/COUNT(Trial!H6:H25),"")</f>
        <v/>
      </c>
      <c r="D12" s="11">
        <f>IF(OR(B12="",C12=""),"",C12-B12)</f>
        <v/>
      </c>
    </row>
    <row r="13">
      <c r="A13" s="9" t="inlineStr">
        <is>
          <t>Time including rework (minutes per occasion)</t>
        </is>
      </c>
      <c r="B13" s="11">
        <f>IFERROR(B6+B12,"")</f>
        <v/>
      </c>
      <c r="C13" s="11">
        <f>IFERROR(C6+C12,"")</f>
        <v/>
      </c>
      <c r="D13" s="11">
        <f>IF(OR(B13="",C13=""),"",C13-B13)</f>
        <v/>
      </c>
    </row>
    <row r="14">
      <c r="A14" s="9" t="inlineStr">
        <is>
          <t>Errors found by me, per occasion</t>
        </is>
      </c>
      <c r="B14" s="11">
        <f>IFERROR(SUM(Baseline!E6:E15)/COUNT(Baseline!C6:C15),"")</f>
        <v/>
      </c>
      <c r="C14" s="11">
        <f>IFERROR(SUM(Trial!J6:J25)/COUNT(Trial!H6:H25),"")</f>
        <v/>
      </c>
      <c r="D14" s="11">
        <f>IF(OR(B14="",C14=""),"",C14-B14)</f>
        <v/>
      </c>
    </row>
    <row r="15">
      <c r="A15" s="9" t="inlineStr">
        <is>
          <t>Errors found by the recipient, per occasion</t>
        </is>
      </c>
      <c r="B15" s="11">
        <f>IFERROR(SUM(Baseline!F6:F15)/COUNT(Baseline!C6:C15),"")</f>
        <v/>
      </c>
      <c r="C15" s="11">
        <f>IFERROR(SUM(Trial!K6:K25)/COUNT(Trial!H6:H25),"")</f>
        <v/>
      </c>
      <c r="D15" s="11">
        <f>IF(OR(B15="",C15=""),"",C15-B15)</f>
        <v/>
      </c>
    </row>
    <row r="16">
      <c r="A16" s="9" t="inlineStr">
        <is>
          <t>Credits used each run (average)</t>
        </is>
      </c>
      <c r="B16" s="11" t="n"/>
      <c r="C16" s="11">
        <f>IFERROR(AVERAGE(Trial!L6:L25),"")</f>
        <v/>
      </c>
      <c r="D16" s="11" t="n"/>
    </row>
    <row r="17">
      <c r="A17" s="9" t="inlineStr">
        <is>
          <t>Recipient's view: more useful (runs)</t>
        </is>
      </c>
      <c r="B17" s="10" t="n"/>
      <c r="C17" s="10">
        <f>COUNTIF(Trial!M6:M25,"More useful")</f>
        <v/>
      </c>
      <c r="D17" s="11" t="n"/>
    </row>
    <row r="18">
      <c r="A18" s="9" t="inlineStr">
        <is>
          <t>Recipient's view: about the same (runs)</t>
        </is>
      </c>
      <c r="B18" s="10" t="n"/>
      <c r="C18" s="10">
        <f>COUNTIF(Trial!M6:M25,"About the same")</f>
        <v/>
      </c>
      <c r="D18" s="11" t="n"/>
    </row>
    <row r="19">
      <c r="A19" s="9" t="inlineStr">
        <is>
          <t>Recipient's view: less useful (runs)</t>
        </is>
      </c>
      <c r="B19" s="10" t="n"/>
      <c r="C19" s="10">
        <f>COUNTIF(Trial!M6:M25,"Less useful")</f>
        <v/>
      </c>
      <c r="D19" s="11" t="n"/>
    </row>
    <row r="21">
      <c r="A21" s="12" t="inlineStr">
        <is>
          <t>Net time saved each occasion (minutes, after review, fixing, maintenance and rework)</t>
        </is>
      </c>
      <c r="B21" s="13">
        <f>IFERROR(B13-C13,"")</f>
        <v/>
      </c>
    </row>
    <row r="22">
      <c r="A22" s="12" t="inlineStr">
        <is>
          <t>How many times does the task happen each month?</t>
        </is>
      </c>
      <c r="B22" s="14" t="n"/>
    </row>
    <row r="23">
      <c r="A23" s="12" t="inlineStr">
        <is>
          <t>Net time saved each month (minutes)</t>
        </is>
      </c>
      <c r="B23" s="13">
        <f>IF(OR(B21="",B22=""),"",B21*B22)</f>
        <v/>
      </c>
    </row>
    <row r="25">
      <c r="A25" s="15" t="inlineStr">
        <is>
          <t>My test for success (write this BEFORE the trial)</t>
        </is>
      </c>
    </row>
    <row r="26" ht="32" customHeight="1">
      <c r="A26" s="2" t="inlineStr">
        <is>
          <t>Keep it if:</t>
        </is>
      </c>
      <c r="B26" s="7" t="n"/>
      <c r="C26" s="16" t="n"/>
      <c r="D26" s="17" t="n"/>
    </row>
    <row r="27" ht="32" customHeight="1">
      <c r="A27" s="2" t="inlineStr">
        <is>
          <t>Stop it if:</t>
        </is>
      </c>
      <c r="B27" s="7" t="n"/>
      <c r="C27" s="16" t="n"/>
      <c r="D27" s="17" t="n"/>
    </row>
    <row r="28" ht="32" customHeight="1">
      <c r="A28" s="2" t="inlineStr">
        <is>
          <t>What the saved time is for:</t>
        </is>
      </c>
      <c r="B28" s="7" t="n"/>
      <c r="C28" s="16" t="n"/>
      <c r="D28" s="17" t="n"/>
    </row>
    <row r="29" ht="32" customHeight="1">
      <c r="A29" s="2" t="inlineStr">
        <is>
          <t>Decision (Keep, Improve, or Stop):</t>
        </is>
      </c>
      <c r="B29" s="7" t="n"/>
      <c r="C29" s="16" t="n"/>
      <c r="D29" s="17" t="n"/>
    </row>
    <row r="30" ht="32" customHeight="1">
      <c r="A30" s="2" t="inlineStr">
        <is>
          <t>Reason for the decision:</t>
        </is>
      </c>
      <c r="B30" s="7" t="n"/>
      <c r="C30" s="16" t="n"/>
      <c r="D30" s="17" t="n"/>
    </row>
    <row r="31" ht="32" customHeight="1">
      <c r="A31" s="2" t="inlineStr">
        <is>
          <t>Date to measure again:</t>
        </is>
      </c>
      <c r="B31" s="7" t="n"/>
      <c r="C31" s="16" t="n"/>
      <c r="D31" s="17" t="n"/>
    </row>
  </sheetData>
  <mergeCells count="6">
    <mergeCell ref="B28:D28"/>
    <mergeCell ref="B31:D31"/>
    <mergeCell ref="B26:D26"/>
    <mergeCell ref="B27:D27"/>
    <mergeCell ref="B30:D30"/>
    <mergeCell ref="B29:D29"/>
  </mergeCells>
  <dataValidations count="1">
    <dataValidation sqref="B29" showDropDown="0" showInputMessage="0" showErrorMessage="0" allowBlank="1" type="list">
      <formula1>"Keep,Improve,Stop"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Value tracker</t>
        </is>
      </c>
    </row>
    <row r="3">
      <c r="A3" s="18" t="inlineStr">
        <is>
          <t>Chapter 5.11 sample file, Microsoft Copilot Visual Bible, Book 5. Fictional.</t>
        </is>
      </c>
    </row>
    <row r="4">
      <c r="A4" s="18" t="inlineStr">
        <is>
          <t>Baseline sheet: record how the task goes now. Trial sheet: record the same task with Copilot, with each part of the time separately. Summary sheet: calculates the comparison. Yellow cells are for you to fill in. Blue cells are calculated.</t>
        </is>
      </c>
    </row>
    <row r="5">
      <c r="A5" s="18" t="inlineStr">
        <is>
          <t>Net time saved = baseline time minus the whole trial time (preparing, waiting, reviewing, fixing, and maintaining), taking rework into account. A first draft that takes seconds to produce does not count as the whole trial time.</t>
        </is>
      </c>
    </row>
    <row r="6">
      <c r="A6" s="18" t="inlineStr">
        <is>
          <t>Credits: type /cost after a Cowork run and note the credits used. Leave blank if your account doesn't show it.</t>
        </is>
      </c>
    </row>
    <row r="7">
      <c r="A7" s="18" t="inlineStr"/>
    </row>
    <row r="8">
      <c r="A8" s="18" t="inlineStr">
        <is>
          <t>This copy is blank. value-tracker-example.xlsx shows it filled in with the book's worked example.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2026-10-10T08:28:19Z</dcterms:created>
  <dcterms:modified xmlns:dcterms="http://purl.org/dc/terms/" xmlns:xsi="http://www.w3.org/2001/XMLSchema-instance" xsi:type="dcterms:W3CDTF">2026-10-10T08:28:19Z</dcterms:modified>
</cp:coreProperties>
</file>