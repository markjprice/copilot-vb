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line" sheetId="1" state="visible" r:id="rId1"/>
    <sheet xmlns:r="http://schemas.openxmlformats.org/officeDocument/2006/relationships" name="Trial" sheetId="2" state="visible" r:id="rId2"/>
    <sheet xmlns:r="http://schemas.openxmlformats.org/officeDocument/2006/relationships" name="Summary" sheetId="3" state="visible" r:id="rId3"/>
    <sheet xmlns:r="http://schemas.openxmlformats.org/officeDocument/2006/relationships" name="About this file" sheetId="4" state="visible" r:id="rId4"/>
  </sheets>
  <definedNames/>
  <calcPr calcId="124519" fullCalcOnLoad="1"/>
</workbook>
</file>

<file path=xl/styles.xml><?xml version="1.0" encoding="utf-8"?>
<styleSheet xmlns="http://schemas.openxmlformats.org/spreadsheetml/2006/main">
  <numFmts count="3">
    <numFmt numFmtId="164" formatCode="yyyy-mm-dd"/>
    <numFmt numFmtId="165" formatCode="mmm d, yyyy"/>
    <numFmt numFmtId="166" formatCode="0.0"/>
  </numFmts>
  <fonts count="7">
    <font>
      <name val="Calibri"/>
      <family val="2"/>
      <color theme="1"/>
      <sz val="11"/>
      <scheme val="minor"/>
    </font>
    <font>
      <name val="Arial"/>
      <b val="1"/>
      <color rgb="001F4E79"/>
      <sz val="13"/>
    </font>
    <font>
      <name val="Arial"/>
      <b val="1"/>
      <sz val="10"/>
    </font>
    <font>
      <name val="Arial"/>
      <i val="1"/>
      <sz val="9"/>
    </font>
    <font>
      <name val="Arial"/>
      <b val="1"/>
      <color rgb="00FFFFFF"/>
      <sz val="10"/>
    </font>
    <font>
      <name val="Arial"/>
      <sz val="10"/>
    </font>
    <font>
      <name val="Arial"/>
      <b val="1"/>
      <color rgb="001F4E79"/>
      <sz val="11"/>
    </font>
  </fonts>
  <fills count="5">
    <fill>
      <patternFill/>
    </fill>
    <fill>
      <patternFill patternType="gray125"/>
    </fill>
    <fill>
      <patternFill patternType="solid">
        <fgColor rgb="001F4E79"/>
      </patternFill>
    </fill>
    <fill>
      <patternFill patternType="solid">
        <fgColor rgb="00FFF8E1"/>
      </patternFill>
    </fill>
    <fill>
      <patternFill patternType="solid">
        <fgColor rgb="00EAF1F8"/>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1" applyAlignment="1" pivotButton="0" quotePrefix="0" xfId="0">
      <alignment vertical="top" wrapText="1"/>
    </xf>
    <xf numFmtId="165" fontId="5" fillId="3" borderId="1" applyAlignment="1" pivotButton="0" quotePrefix="0" xfId="0">
      <alignment vertical="top" wrapText="1"/>
    </xf>
    <xf numFmtId="0" fontId="5" fillId="3" borderId="1" applyAlignment="1" pivotButton="0" quotePrefix="0" xfId="0">
      <alignment vertical="top" wrapText="1"/>
    </xf>
    <xf numFmtId="0" fontId="2" fillId="4" borderId="1" applyAlignment="1" pivotButton="0" quotePrefix="0" xfId="0">
      <alignment vertical="top" wrapText="1"/>
    </xf>
    <xf numFmtId="0" fontId="5" fillId="0" borderId="1" pivotButton="0" quotePrefix="0" xfId="0"/>
    <xf numFmtId="1" fontId="5" fillId="4" borderId="1" pivotButton="0" quotePrefix="0" xfId="0"/>
    <xf numFmtId="166" fontId="5" fillId="4" borderId="1" pivotButton="0" quotePrefix="0" xfId="0"/>
    <xf numFmtId="0" fontId="2" fillId="0" borderId="0" applyAlignment="1" pivotButton="0" quotePrefix="0" xfId="0">
      <alignment vertical="top" wrapText="1"/>
    </xf>
    <xf numFmtId="166" fontId="2" fillId="4" borderId="1" pivotButton="0" quotePrefix="0" xfId="0"/>
    <xf numFmtId="166" fontId="2" fillId="3" borderId="1" pivotButton="0" quotePrefix="0" xfId="0"/>
    <xf numFmtId="0" fontId="6" fillId="0" borderId="0" pivotButton="0" quotePrefix="0" xfId="0"/>
    <xf numFmtId="0" fontId="0" fillId="0" borderId="4" pivotButton="0" quotePrefix="0" xfId="0"/>
    <xf numFmtId="0" fontId="0" fillId="0" borderId="5" pivotButton="0" quotePrefix="0" xfId="0"/>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pane ySplit="5" topLeftCell="A6" activePane="bottomLeft" state="frozen"/>
      <selection pane="bottomLeft" activeCell="A1" sqref="A1"/>
    </sheetView>
  </sheetViews>
  <sheetFormatPr baseColWidth="8" defaultRowHeight="15"/>
  <cols>
    <col width="11" customWidth="1" min="1" max="1"/>
    <col width="14" customWidth="1" min="2" max="2"/>
    <col width="14" customWidth="1" min="3" max="3"/>
    <col width="18" customWidth="1" min="4" max="4"/>
    <col width="12" customWidth="1" min="5" max="5"/>
    <col width="14" customWidth="1" min="6" max="6"/>
    <col width="36" customWidth="1" min="7" max="7"/>
    <col width="32" customWidth="1" min="8" max="8"/>
  </cols>
  <sheetData>
    <row r="1">
      <c r="A1" s="1" t="inlineStr">
        <is>
          <t>Baseline: how the task goes now, before Copilot</t>
        </is>
      </c>
    </row>
    <row r="2">
      <c r="A2" s="2" t="inlineStr">
        <is>
          <t>Task:</t>
        </is>
      </c>
      <c r="B2" t="inlineStr">
        <is>
          <t>Weekly four-day week health check (fictional example)</t>
        </is>
      </c>
    </row>
    <row r="3">
      <c r="A3" s="3" t="inlineStr">
        <is>
          <t>Time the task with a timer, from start to finish, including finding the information. Record at least three occasions. Add rework again a week later.</t>
        </is>
      </c>
    </row>
    <row r="5" ht="46" customHeight="1">
      <c r="A5" s="4" t="inlineStr">
        <is>
          <t>Occasion</t>
        </is>
      </c>
      <c r="B5" s="4" t="inlineStr">
        <is>
          <t>Date</t>
        </is>
      </c>
      <c r="C5" s="4" t="inlineStr">
        <is>
          <t>Minutes, start to finish</t>
        </is>
      </c>
      <c r="D5" s="4" t="inlineStr">
        <is>
          <t>Rework after sending (minutes, 0 if none)</t>
        </is>
      </c>
      <c r="E5" s="4" t="inlineStr">
        <is>
          <t>Errors found by me</t>
        </is>
      </c>
      <c r="F5" s="4" t="inlineStr">
        <is>
          <t>Errors found by the recipient</t>
        </is>
      </c>
      <c r="G5" s="4" t="inlineStr">
        <is>
          <t>What the recipient said</t>
        </is>
      </c>
      <c r="H5" s="4" t="inlineStr">
        <is>
          <t>Notes</t>
        </is>
      </c>
    </row>
    <row r="6">
      <c r="A6" s="5" t="n">
        <v>1</v>
      </c>
      <c r="B6" s="6" t="n">
        <v>46643</v>
      </c>
      <c r="C6" s="7" t="n">
        <v>40</v>
      </c>
      <c r="D6" s="7" t="n">
        <v>0</v>
      </c>
      <c r="E6" s="7" t="n">
        <v>0</v>
      </c>
      <c r="F6" s="7" t="n">
        <v>0</v>
      </c>
      <c r="G6" s="7" t="inlineStr">
        <is>
          <t>Useful</t>
        </is>
      </c>
      <c r="H6" s="7" t="inlineStr"/>
    </row>
    <row r="7">
      <c r="A7" s="5" t="n">
        <v>2</v>
      </c>
      <c r="B7" s="6" t="n">
        <v>46650</v>
      </c>
      <c r="C7" s="7" t="n">
        <v>45</v>
      </c>
      <c r="D7" s="7" t="n">
        <v>10</v>
      </c>
      <c r="E7" s="7" t="n">
        <v>0</v>
      </c>
      <c r="F7" s="7" t="n">
        <v>1</v>
      </c>
      <c r="G7" s="7" t="inlineStr">
        <is>
          <t>Useful. Pointed out a figure for Billing that was wrong</t>
        </is>
      </c>
      <c r="H7" s="7" t="inlineStr">
        <is>
          <t>Fixed and re-sent the next morning</t>
        </is>
      </c>
    </row>
    <row r="8">
      <c r="A8" s="5" t="n">
        <v>3</v>
      </c>
      <c r="B8" s="6" t="n">
        <v>46657</v>
      </c>
      <c r="C8" s="7" t="n">
        <v>35</v>
      </c>
      <c r="D8" s="7" t="n">
        <v>0</v>
      </c>
      <c r="E8" s="7" t="n">
        <v>0</v>
      </c>
      <c r="F8" s="7" t="n">
        <v>0</v>
      </c>
      <c r="G8" s="7" t="inlineStr">
        <is>
          <t>Useful</t>
        </is>
      </c>
      <c r="H8" s="7" t="inlineStr"/>
    </row>
    <row r="9">
      <c r="A9" s="5" t="n">
        <v>4</v>
      </c>
      <c r="B9" s="6" t="n"/>
      <c r="C9" s="7" t="n"/>
      <c r="D9" s="7" t="n"/>
      <c r="E9" s="7" t="n"/>
      <c r="F9" s="7" t="n"/>
      <c r="G9" s="7" t="n"/>
      <c r="H9" s="7" t="n"/>
    </row>
    <row r="10">
      <c r="A10" s="5" t="n">
        <v>5</v>
      </c>
      <c r="B10" s="6" t="n"/>
      <c r="C10" s="7" t="n"/>
      <c r="D10" s="7" t="n"/>
      <c r="E10" s="7" t="n"/>
      <c r="F10" s="7" t="n"/>
      <c r="G10" s="7" t="n"/>
      <c r="H10" s="7" t="n"/>
    </row>
    <row r="11">
      <c r="A11" s="5" t="n">
        <v>6</v>
      </c>
      <c r="B11" s="6" t="n"/>
      <c r="C11" s="7" t="n"/>
      <c r="D11" s="7" t="n"/>
      <c r="E11" s="7" t="n"/>
      <c r="F11" s="7" t="n"/>
      <c r="G11" s="7" t="n"/>
      <c r="H11" s="7" t="n"/>
    </row>
    <row r="12">
      <c r="A12" s="5" t="n">
        <v>7</v>
      </c>
      <c r="B12" s="6" t="n"/>
      <c r="C12" s="7" t="n"/>
      <c r="D12" s="7" t="n"/>
      <c r="E12" s="7" t="n"/>
      <c r="F12" s="7" t="n"/>
      <c r="G12" s="7" t="n"/>
      <c r="H12" s="7" t="n"/>
    </row>
    <row r="13">
      <c r="A13" s="5" t="n">
        <v>8</v>
      </c>
      <c r="B13" s="6" t="n"/>
      <c r="C13" s="7" t="n"/>
      <c r="D13" s="7" t="n"/>
      <c r="E13" s="7" t="n"/>
      <c r="F13" s="7" t="n"/>
      <c r="G13" s="7" t="n"/>
      <c r="H13" s="7" t="n"/>
    </row>
    <row r="14">
      <c r="A14" s="5" t="n">
        <v>9</v>
      </c>
      <c r="B14" s="6" t="n"/>
      <c r="C14" s="7" t="n"/>
      <c r="D14" s="7" t="n"/>
      <c r="E14" s="7" t="n"/>
      <c r="F14" s="7" t="n"/>
      <c r="G14" s="7" t="n"/>
      <c r="H14" s="7" t="n"/>
    </row>
    <row r="15">
      <c r="A15" s="5" t="n">
        <v>10</v>
      </c>
      <c r="B15" s="6" t="n"/>
      <c r="C15" s="7" t="n"/>
      <c r="D15" s="7" t="n"/>
      <c r="E15" s="7" t="n"/>
      <c r="F15" s="7" t="n"/>
      <c r="G15" s="7" t="n"/>
      <c r="H15" s="7"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5"/>
  <sheetViews>
    <sheetView workbookViewId="0">
      <pane ySplit="5" topLeftCell="A6" activePane="bottomLeft" state="frozen"/>
      <selection pane="bottomLeft" activeCell="A1" sqref="A1"/>
    </sheetView>
  </sheetViews>
  <sheetFormatPr baseColWidth="8" defaultRowHeight="15"/>
  <cols>
    <col width="7" customWidth="1" min="1" max="1"/>
    <col width="14" customWidth="1" min="2" max="2"/>
    <col width="11" customWidth="1" min="3" max="3"/>
    <col width="10" customWidth="1" min="4" max="4"/>
    <col width="11" customWidth="1" min="5" max="5"/>
    <col width="10" customWidth="1" min="6" max="6"/>
    <col width="12" customWidth="1" min="7" max="7"/>
    <col width="10" customWidth="1" min="8" max="8"/>
    <col width="14" customWidth="1" min="9" max="9"/>
    <col width="11" customWidth="1" min="10" max="10"/>
    <col width="13" customWidth="1" min="11" max="11"/>
    <col width="12" customWidth="1" min="12" max="12"/>
    <col width="18" customWidth="1" min="13" max="13"/>
    <col width="42" customWidth="1" min="14" max="14"/>
  </cols>
  <sheetData>
    <row r="1">
      <c r="A1" s="1" t="inlineStr">
        <is>
          <t>Trial: the same task with Copilot, including everything it costs you</t>
        </is>
      </c>
    </row>
    <row r="2">
      <c r="A2" s="2" t="inlineStr">
        <is>
          <t>Routine:</t>
        </is>
      </c>
      <c r="B2" t="inlineStr">
        <is>
          <t>Weekly health check as a recurring Cowork task (fictional example)</t>
        </is>
      </c>
    </row>
    <row r="3">
      <c r="A3" s="3" t="inlineStr">
        <is>
          <t>Time each part separately. Count waiting time only if you could not do other work. Record every run, including bad ones. Total is calculated.</t>
        </is>
      </c>
    </row>
    <row r="5" ht="46" customHeight="1">
      <c r="A5" s="4" t="inlineStr">
        <is>
          <t>Run</t>
        </is>
      </c>
      <c r="B5" s="4" t="inlineStr">
        <is>
          <t>Date</t>
        </is>
      </c>
      <c r="C5" s="4" t="inlineStr">
        <is>
          <t>Preparing (min)</t>
        </is>
      </c>
      <c r="D5" s="4" t="inlineStr">
        <is>
          <t>Waiting (min)</t>
        </is>
      </c>
      <c r="E5" s="4" t="inlineStr">
        <is>
          <t>Reviewing (min)</t>
        </is>
      </c>
      <c r="F5" s="4" t="inlineStr">
        <is>
          <t>Fixing (min)</t>
        </is>
      </c>
      <c r="G5" s="4" t="inlineStr">
        <is>
          <t>Maintaining (min)</t>
        </is>
      </c>
      <c r="H5" s="4" t="inlineStr">
        <is>
          <t>Total (min)</t>
        </is>
      </c>
      <c r="I5" s="4" t="inlineStr">
        <is>
          <t>Rework after sending (min)</t>
        </is>
      </c>
      <c r="J5" s="4" t="inlineStr">
        <is>
          <t>Errors found by me</t>
        </is>
      </c>
      <c r="K5" s="4" t="inlineStr">
        <is>
          <t>Errors found by the recipient</t>
        </is>
      </c>
      <c r="L5" s="4" t="inlineStr">
        <is>
          <t>Credits used (/cost)</t>
        </is>
      </c>
      <c r="M5" s="4" t="inlineStr">
        <is>
          <t>Recipient's view</t>
        </is>
      </c>
      <c r="N5" s="4" t="inlineStr">
        <is>
          <t>Notes</t>
        </is>
      </c>
    </row>
    <row r="6">
      <c r="A6" s="5" t="n">
        <v>1</v>
      </c>
      <c r="B6" s="6" t="n">
        <v>46678</v>
      </c>
      <c r="C6" s="7" t="n">
        <v>4</v>
      </c>
      <c r="D6" s="7" t="n">
        <v>0</v>
      </c>
      <c r="E6" s="7" t="n">
        <v>10</v>
      </c>
      <c r="F6" s="7" t="n">
        <v>5</v>
      </c>
      <c r="G6" s="7" t="n">
        <v>0</v>
      </c>
      <c r="H6" s="8">
        <f>IF(COUNT(C6:G6)=0,"",SUM(C6:G6))</f>
        <v/>
      </c>
      <c r="I6" s="7" t="n">
        <v>0</v>
      </c>
      <c r="J6" s="7" t="n">
        <v>2</v>
      </c>
      <c r="K6" s="7" t="n">
        <v>0</v>
      </c>
      <c r="L6" s="7" t="n">
        <v>11</v>
      </c>
      <c r="M6" s="7" t="inlineStr">
        <is>
          <t>About the same</t>
        </is>
      </c>
      <c r="N6" s="7" t="inlineStr">
        <is>
          <t>Slower while I learned the review</t>
        </is>
      </c>
    </row>
    <row r="7">
      <c r="A7" s="5" t="n">
        <v>2</v>
      </c>
      <c r="B7" s="6" t="n">
        <v>46685</v>
      </c>
      <c r="C7" s="7" t="n">
        <v>3</v>
      </c>
      <c r="D7" s="7" t="n">
        <v>0</v>
      </c>
      <c r="E7" s="7" t="n">
        <v>9</v>
      </c>
      <c r="F7" s="7" t="n">
        <v>5</v>
      </c>
      <c r="G7" s="7" t="n">
        <v>0</v>
      </c>
      <c r="H7" s="8">
        <f>IF(COUNT(C7:G7)=0,"",SUM(C7:G7))</f>
        <v/>
      </c>
      <c r="I7" s="7" t="n">
        <v>0</v>
      </c>
      <c r="J7" s="7" t="n">
        <v>1</v>
      </c>
      <c r="K7" s="7" t="n">
        <v>0</v>
      </c>
      <c r="L7" s="7" t="n">
        <v>10</v>
      </c>
      <c r="M7" s="7" t="inlineStr">
        <is>
          <t>More useful</t>
        </is>
      </c>
      <c r="N7" s="7" t="inlineStr">
        <is>
          <t>Arrived before my Monday meeting</t>
        </is>
      </c>
    </row>
    <row r="8">
      <c r="A8" s="5" t="n">
        <v>3</v>
      </c>
      <c r="B8" s="6" t="n">
        <v>46692</v>
      </c>
      <c r="C8" s="7" t="n">
        <v>3</v>
      </c>
      <c r="D8" s="7" t="n">
        <v>0</v>
      </c>
      <c r="E8" s="7" t="n">
        <v>8</v>
      </c>
      <c r="F8" s="7" t="n">
        <v>4</v>
      </c>
      <c r="G8" s="7" t="n">
        <v>30</v>
      </c>
      <c r="H8" s="8">
        <f>IF(COUNT(C8:G8)=0,"",SUM(C8:G8))</f>
        <v/>
      </c>
      <c r="I8" s="7" t="n">
        <v>15</v>
      </c>
      <c r="J8" s="7" t="n">
        <v>1</v>
      </c>
      <c r="K8" s="7" t="n">
        <v>1</v>
      </c>
      <c r="L8" s="7" t="n">
        <v>12</v>
      </c>
      <c r="M8" s="7" t="inlineStr">
        <is>
          <t>About the same</t>
        </is>
      </c>
      <c r="N8" s="7" t="inlineStr">
        <is>
          <t>Folder renamed. Spent 30 minutes fixing the path. Recipient found one wrong day count</t>
        </is>
      </c>
    </row>
    <row r="9">
      <c r="A9" s="5" t="n">
        <v>4</v>
      </c>
      <c r="B9" s="6" t="n">
        <v>46699</v>
      </c>
      <c r="C9" s="7" t="n">
        <v>3</v>
      </c>
      <c r="D9" s="7" t="n">
        <v>0</v>
      </c>
      <c r="E9" s="7" t="n">
        <v>8</v>
      </c>
      <c r="F9" s="7" t="n">
        <v>2</v>
      </c>
      <c r="G9" s="7" t="n">
        <v>0</v>
      </c>
      <c r="H9" s="8">
        <f>IF(COUNT(C9:G9)=0,"",SUM(C9:G9))</f>
        <v/>
      </c>
      <c r="I9" s="7" t="n">
        <v>0</v>
      </c>
      <c r="J9" s="7" t="n">
        <v>0</v>
      </c>
      <c r="K9" s="7" t="n">
        <v>0</v>
      </c>
      <c r="L9" s="7" t="n">
        <v>10</v>
      </c>
      <c r="M9" s="7" t="inlineStr">
        <is>
          <t>More useful</t>
        </is>
      </c>
      <c r="N9" s="7" t="inlineStr">
        <is>
          <t>Added the row-count check to the prompt</t>
        </is>
      </c>
    </row>
    <row r="10">
      <c r="A10" s="5" t="n">
        <v>5</v>
      </c>
      <c r="B10" s="6" t="n"/>
      <c r="C10" s="7" t="n"/>
      <c r="D10" s="7" t="n"/>
      <c r="E10" s="7" t="n"/>
      <c r="F10" s="7" t="n"/>
      <c r="G10" s="7" t="n"/>
      <c r="H10" s="8">
        <f>IF(COUNT(C10:G10)=0,"",SUM(C10:G10))</f>
        <v/>
      </c>
      <c r="I10" s="7" t="n"/>
      <c r="J10" s="7" t="n"/>
      <c r="K10" s="7" t="n"/>
      <c r="L10" s="7" t="n"/>
      <c r="M10" s="7" t="n"/>
      <c r="N10" s="7" t="n"/>
    </row>
    <row r="11">
      <c r="A11" s="5" t="n">
        <v>6</v>
      </c>
      <c r="B11" s="6" t="n"/>
      <c r="C11" s="7" t="n"/>
      <c r="D11" s="7" t="n"/>
      <c r="E11" s="7" t="n"/>
      <c r="F11" s="7" t="n"/>
      <c r="G11" s="7" t="n"/>
      <c r="H11" s="8">
        <f>IF(COUNT(C11:G11)=0,"",SUM(C11:G11))</f>
        <v/>
      </c>
      <c r="I11" s="7" t="n"/>
      <c r="J11" s="7" t="n"/>
      <c r="K11" s="7" t="n"/>
      <c r="L11" s="7" t="n"/>
      <c r="M11" s="7" t="n"/>
      <c r="N11" s="7" t="n"/>
    </row>
    <row r="12">
      <c r="A12" s="5" t="n">
        <v>7</v>
      </c>
      <c r="B12" s="6" t="n"/>
      <c r="C12" s="7" t="n"/>
      <c r="D12" s="7" t="n"/>
      <c r="E12" s="7" t="n"/>
      <c r="F12" s="7" t="n"/>
      <c r="G12" s="7" t="n"/>
      <c r="H12" s="8">
        <f>IF(COUNT(C12:G12)=0,"",SUM(C12:G12))</f>
        <v/>
      </c>
      <c r="I12" s="7" t="n"/>
      <c r="J12" s="7" t="n"/>
      <c r="K12" s="7" t="n"/>
      <c r="L12" s="7" t="n"/>
      <c r="M12" s="7" t="n"/>
      <c r="N12" s="7" t="n"/>
    </row>
    <row r="13">
      <c r="A13" s="5" t="n">
        <v>8</v>
      </c>
      <c r="B13" s="6" t="n"/>
      <c r="C13" s="7" t="n"/>
      <c r="D13" s="7" t="n"/>
      <c r="E13" s="7" t="n"/>
      <c r="F13" s="7" t="n"/>
      <c r="G13" s="7" t="n"/>
      <c r="H13" s="8">
        <f>IF(COUNT(C13:G13)=0,"",SUM(C13:G13))</f>
        <v/>
      </c>
      <c r="I13" s="7" t="n"/>
      <c r="J13" s="7" t="n"/>
      <c r="K13" s="7" t="n"/>
      <c r="L13" s="7" t="n"/>
      <c r="M13" s="7" t="n"/>
      <c r="N13" s="7" t="n"/>
    </row>
    <row r="14">
      <c r="A14" s="5" t="n">
        <v>9</v>
      </c>
      <c r="B14" s="6" t="n"/>
      <c r="C14" s="7" t="n"/>
      <c r="D14" s="7" t="n"/>
      <c r="E14" s="7" t="n"/>
      <c r="F14" s="7" t="n"/>
      <c r="G14" s="7" t="n"/>
      <c r="H14" s="8">
        <f>IF(COUNT(C14:G14)=0,"",SUM(C14:G14))</f>
        <v/>
      </c>
      <c r="I14" s="7" t="n"/>
      <c r="J14" s="7" t="n"/>
      <c r="K14" s="7" t="n"/>
      <c r="L14" s="7" t="n"/>
      <c r="M14" s="7" t="n"/>
      <c r="N14" s="7" t="n"/>
    </row>
    <row r="15">
      <c r="A15" s="5" t="n">
        <v>10</v>
      </c>
      <c r="B15" s="6" t="n"/>
      <c r="C15" s="7" t="n"/>
      <c r="D15" s="7" t="n"/>
      <c r="E15" s="7" t="n"/>
      <c r="F15" s="7" t="n"/>
      <c r="G15" s="7" t="n"/>
      <c r="H15" s="8">
        <f>IF(COUNT(C15:G15)=0,"",SUM(C15:G15))</f>
        <v/>
      </c>
      <c r="I15" s="7" t="n"/>
      <c r="J15" s="7" t="n"/>
      <c r="K15" s="7" t="n"/>
      <c r="L15" s="7" t="n"/>
      <c r="M15" s="7" t="n"/>
      <c r="N15" s="7" t="n"/>
    </row>
    <row r="16">
      <c r="A16" s="5" t="n">
        <v>11</v>
      </c>
      <c r="B16" s="6" t="n"/>
      <c r="C16" s="7" t="n"/>
      <c r="D16" s="7" t="n"/>
      <c r="E16" s="7" t="n"/>
      <c r="F16" s="7" t="n"/>
      <c r="G16" s="7" t="n"/>
      <c r="H16" s="8">
        <f>IF(COUNT(C16:G16)=0,"",SUM(C16:G16))</f>
        <v/>
      </c>
      <c r="I16" s="7" t="n"/>
      <c r="J16" s="7" t="n"/>
      <c r="K16" s="7" t="n"/>
      <c r="L16" s="7" t="n"/>
      <c r="M16" s="7" t="n"/>
      <c r="N16" s="7" t="n"/>
    </row>
    <row r="17">
      <c r="A17" s="5" t="n">
        <v>12</v>
      </c>
      <c r="B17" s="6" t="n"/>
      <c r="C17" s="7" t="n"/>
      <c r="D17" s="7" t="n"/>
      <c r="E17" s="7" t="n"/>
      <c r="F17" s="7" t="n"/>
      <c r="G17" s="7" t="n"/>
      <c r="H17" s="8">
        <f>IF(COUNT(C17:G17)=0,"",SUM(C17:G17))</f>
        <v/>
      </c>
      <c r="I17" s="7" t="n"/>
      <c r="J17" s="7" t="n"/>
      <c r="K17" s="7" t="n"/>
      <c r="L17" s="7" t="n"/>
      <c r="M17" s="7" t="n"/>
      <c r="N17" s="7" t="n"/>
    </row>
    <row r="18">
      <c r="A18" s="5" t="n">
        <v>13</v>
      </c>
      <c r="B18" s="6" t="n"/>
      <c r="C18" s="7" t="n"/>
      <c r="D18" s="7" t="n"/>
      <c r="E18" s="7" t="n"/>
      <c r="F18" s="7" t="n"/>
      <c r="G18" s="7" t="n"/>
      <c r="H18" s="8">
        <f>IF(COUNT(C18:G18)=0,"",SUM(C18:G18))</f>
        <v/>
      </c>
      <c r="I18" s="7" t="n"/>
      <c r="J18" s="7" t="n"/>
      <c r="K18" s="7" t="n"/>
      <c r="L18" s="7" t="n"/>
      <c r="M18" s="7" t="n"/>
      <c r="N18" s="7" t="n"/>
    </row>
    <row r="19">
      <c r="A19" s="5" t="n">
        <v>14</v>
      </c>
      <c r="B19" s="6" t="n"/>
      <c r="C19" s="7" t="n"/>
      <c r="D19" s="7" t="n"/>
      <c r="E19" s="7" t="n"/>
      <c r="F19" s="7" t="n"/>
      <c r="G19" s="7" t="n"/>
      <c r="H19" s="8">
        <f>IF(COUNT(C19:G19)=0,"",SUM(C19:G19))</f>
        <v/>
      </c>
      <c r="I19" s="7" t="n"/>
      <c r="J19" s="7" t="n"/>
      <c r="K19" s="7" t="n"/>
      <c r="L19" s="7" t="n"/>
      <c r="M19" s="7" t="n"/>
      <c r="N19" s="7" t="n"/>
    </row>
    <row r="20">
      <c r="A20" s="5" t="n">
        <v>15</v>
      </c>
      <c r="B20" s="6" t="n"/>
      <c r="C20" s="7" t="n"/>
      <c r="D20" s="7" t="n"/>
      <c r="E20" s="7" t="n"/>
      <c r="F20" s="7" t="n"/>
      <c r="G20" s="7" t="n"/>
      <c r="H20" s="8">
        <f>IF(COUNT(C20:G20)=0,"",SUM(C20:G20))</f>
        <v/>
      </c>
      <c r="I20" s="7" t="n"/>
      <c r="J20" s="7" t="n"/>
      <c r="K20" s="7" t="n"/>
      <c r="L20" s="7" t="n"/>
      <c r="M20" s="7" t="n"/>
      <c r="N20" s="7" t="n"/>
    </row>
    <row r="21">
      <c r="A21" s="5" t="n">
        <v>16</v>
      </c>
      <c r="B21" s="6" t="n"/>
      <c r="C21" s="7" t="n"/>
      <c r="D21" s="7" t="n"/>
      <c r="E21" s="7" t="n"/>
      <c r="F21" s="7" t="n"/>
      <c r="G21" s="7" t="n"/>
      <c r="H21" s="8">
        <f>IF(COUNT(C21:G21)=0,"",SUM(C21:G21))</f>
        <v/>
      </c>
      <c r="I21" s="7" t="n"/>
      <c r="J21" s="7" t="n"/>
      <c r="K21" s="7" t="n"/>
      <c r="L21" s="7" t="n"/>
      <c r="M21" s="7" t="n"/>
      <c r="N21" s="7" t="n"/>
    </row>
    <row r="22">
      <c r="A22" s="5" t="n">
        <v>17</v>
      </c>
      <c r="B22" s="6" t="n"/>
      <c r="C22" s="7" t="n"/>
      <c r="D22" s="7" t="n"/>
      <c r="E22" s="7" t="n"/>
      <c r="F22" s="7" t="n"/>
      <c r="G22" s="7" t="n"/>
      <c r="H22" s="8">
        <f>IF(COUNT(C22:G22)=0,"",SUM(C22:G22))</f>
        <v/>
      </c>
      <c r="I22" s="7" t="n"/>
      <c r="J22" s="7" t="n"/>
      <c r="K22" s="7" t="n"/>
      <c r="L22" s="7" t="n"/>
      <c r="M22" s="7" t="n"/>
      <c r="N22" s="7" t="n"/>
    </row>
    <row r="23">
      <c r="A23" s="5" t="n">
        <v>18</v>
      </c>
      <c r="B23" s="6" t="n"/>
      <c r="C23" s="7" t="n"/>
      <c r="D23" s="7" t="n"/>
      <c r="E23" s="7" t="n"/>
      <c r="F23" s="7" t="n"/>
      <c r="G23" s="7" t="n"/>
      <c r="H23" s="8">
        <f>IF(COUNT(C23:G23)=0,"",SUM(C23:G23))</f>
        <v/>
      </c>
      <c r="I23" s="7" t="n"/>
      <c r="J23" s="7" t="n"/>
      <c r="K23" s="7" t="n"/>
      <c r="L23" s="7" t="n"/>
      <c r="M23" s="7" t="n"/>
      <c r="N23" s="7" t="n"/>
    </row>
    <row r="24">
      <c r="A24" s="5" t="n">
        <v>19</v>
      </c>
      <c r="B24" s="6" t="n"/>
      <c r="C24" s="7" t="n"/>
      <c r="D24" s="7" t="n"/>
      <c r="E24" s="7" t="n"/>
      <c r="F24" s="7" t="n"/>
      <c r="G24" s="7" t="n"/>
      <c r="H24" s="8">
        <f>IF(COUNT(C24:G24)=0,"",SUM(C24:G24))</f>
        <v/>
      </c>
      <c r="I24" s="7" t="n"/>
      <c r="J24" s="7" t="n"/>
      <c r="K24" s="7" t="n"/>
      <c r="L24" s="7" t="n"/>
      <c r="M24" s="7" t="n"/>
      <c r="N24" s="7" t="n"/>
    </row>
    <row r="25">
      <c r="A25" s="5" t="n">
        <v>20</v>
      </c>
      <c r="B25" s="6" t="n"/>
      <c r="C25" s="7" t="n"/>
      <c r="D25" s="7" t="n"/>
      <c r="E25" s="7" t="n"/>
      <c r="F25" s="7" t="n"/>
      <c r="G25" s="7" t="n"/>
      <c r="H25" s="8">
        <f>IF(COUNT(C25:G25)=0,"",SUM(C25:G25))</f>
        <v/>
      </c>
      <c r="I25" s="7" t="n"/>
      <c r="J25" s="7" t="n"/>
      <c r="K25" s="7" t="n"/>
      <c r="L25" s="7" t="n"/>
      <c r="M25" s="7" t="n"/>
      <c r="N25" s="7" t="n"/>
    </row>
  </sheetData>
  <dataValidations count="1">
    <dataValidation sqref="M6:M25" showDropDown="0" showInputMessage="0" showErrorMessage="0" allowBlank="1" type="list">
      <formula1>"More useful,About the same,Less useful"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62" customWidth="1" min="1" max="1"/>
    <col width="20" customWidth="1" min="2" max="2"/>
    <col width="22" customWidth="1" min="3" max="3"/>
    <col width="24" customWidth="1" min="4" max="4"/>
  </cols>
  <sheetData>
    <row r="1">
      <c r="A1" s="1" t="inlineStr">
        <is>
          <t>Summary: baseline compared with trial</t>
        </is>
      </c>
    </row>
    <row r="2">
      <c r="A2" s="3" t="inlineStr">
        <is>
          <t>Everything on this sheet is calculated from the Baseline and Trial sheets, except the yellow cells.</t>
        </is>
      </c>
    </row>
    <row r="4" ht="32" customHeight="1">
      <c r="A4" s="4" t="inlineStr">
        <is>
          <t>Measure</t>
        </is>
      </c>
      <c r="B4" s="4" t="inlineStr">
        <is>
          <t>Baseline (manual)</t>
        </is>
      </c>
      <c r="C4" s="4" t="inlineStr">
        <is>
          <t>Trial (with Copilot)</t>
        </is>
      </c>
      <c r="D4" s="4" t="inlineStr">
        <is>
          <t>Difference (trial minus baseline)</t>
        </is>
      </c>
    </row>
    <row r="5">
      <c r="A5" s="9" t="inlineStr">
        <is>
          <t>Occasions recorded</t>
        </is>
      </c>
      <c r="B5" s="10">
        <f>COUNT(Baseline!C6:C15)</f>
        <v/>
      </c>
      <c r="C5" s="10">
        <f>COUNT(Trial!H6:H25)</f>
        <v/>
      </c>
      <c r="D5" s="11" t="n"/>
    </row>
    <row r="6">
      <c r="A6" s="9" t="inlineStr">
        <is>
          <t>Average time each occasion (minutes)</t>
        </is>
      </c>
      <c r="B6" s="11">
        <f>IFERROR(AVERAGE(Baseline!C6:C15),"")</f>
        <v/>
      </c>
      <c r="C6" s="11">
        <f>IFERROR(AVERAGE(Trial!H6:H25),"")</f>
        <v/>
      </c>
      <c r="D6" s="11">
        <f>IF(OR(B6="",C6=""),"",C6-B6)</f>
        <v/>
      </c>
    </row>
    <row r="7">
      <c r="A7" s="9" t="inlineStr">
        <is>
          <t xml:space="preserve">   of which preparing</t>
        </is>
      </c>
      <c r="B7" s="11" t="n"/>
      <c r="C7" s="11">
        <f>IFERROR(AVERAGE(Trial!C6:C25),"")</f>
        <v/>
      </c>
      <c r="D7" s="11" t="n"/>
    </row>
    <row r="8">
      <c r="A8" s="9" t="inlineStr">
        <is>
          <t xml:space="preserve">   of which waiting</t>
        </is>
      </c>
      <c r="B8" s="11" t="n"/>
      <c r="C8" s="11">
        <f>IFERROR(AVERAGE(Trial!D6:D25),"")</f>
        <v/>
      </c>
      <c r="D8" s="11" t="n"/>
    </row>
    <row r="9">
      <c r="A9" s="9" t="inlineStr">
        <is>
          <t xml:space="preserve">   of which reviewing</t>
        </is>
      </c>
      <c r="B9" s="11" t="n"/>
      <c r="C9" s="11">
        <f>IFERROR(AVERAGE(Trial!E6:E25),"")</f>
        <v/>
      </c>
      <c r="D9" s="11" t="n"/>
    </row>
    <row r="10">
      <c r="A10" s="9" t="inlineStr">
        <is>
          <t xml:space="preserve">   of which fixing</t>
        </is>
      </c>
      <c r="B10" s="11" t="n"/>
      <c r="C10" s="11">
        <f>IFERROR(AVERAGE(Trial!F6:F25),"")</f>
        <v/>
      </c>
      <c r="D10" s="11" t="n"/>
    </row>
    <row r="11">
      <c r="A11" s="9" t="inlineStr">
        <is>
          <t xml:space="preserve">   of which maintaining (spread across runs)</t>
        </is>
      </c>
      <c r="B11" s="11" t="n"/>
      <c r="C11" s="11">
        <f>IFERROR(AVERAGE(Trial!G6:G25),"")</f>
        <v/>
      </c>
      <c r="D11" s="11" t="n"/>
    </row>
    <row r="12">
      <c r="A12" s="9" t="inlineStr">
        <is>
          <t>Rework after sending, minutes per occasion</t>
        </is>
      </c>
      <c r="B12" s="11">
        <f>IFERROR(SUM(Baseline!D6:D15)/COUNT(Baseline!C6:C15),"")</f>
        <v/>
      </c>
      <c r="C12" s="11">
        <f>IFERROR(SUM(Trial!I6:I25)/COUNT(Trial!H6:H25),"")</f>
        <v/>
      </c>
      <c r="D12" s="11">
        <f>IF(OR(B12="",C12=""),"",C12-B12)</f>
        <v/>
      </c>
    </row>
    <row r="13">
      <c r="A13" s="9" t="inlineStr">
        <is>
          <t>Time including rework (minutes per occasion)</t>
        </is>
      </c>
      <c r="B13" s="11">
        <f>IFERROR(B6+B12,"")</f>
        <v/>
      </c>
      <c r="C13" s="11">
        <f>IFERROR(C6+C12,"")</f>
        <v/>
      </c>
      <c r="D13" s="11">
        <f>IF(OR(B13="",C13=""),"",C13-B13)</f>
        <v/>
      </c>
    </row>
    <row r="14">
      <c r="A14" s="9" t="inlineStr">
        <is>
          <t>Errors found by me, per occasion</t>
        </is>
      </c>
      <c r="B14" s="11">
        <f>IFERROR(SUM(Baseline!E6:E15)/COUNT(Baseline!C6:C15),"")</f>
        <v/>
      </c>
      <c r="C14" s="11">
        <f>IFERROR(SUM(Trial!J6:J25)/COUNT(Trial!H6:H25),"")</f>
        <v/>
      </c>
      <c r="D14" s="11">
        <f>IF(OR(B14="",C14=""),"",C14-B14)</f>
        <v/>
      </c>
    </row>
    <row r="15">
      <c r="A15" s="9" t="inlineStr">
        <is>
          <t>Errors found by the recipient, per occasion</t>
        </is>
      </c>
      <c r="B15" s="11">
        <f>IFERROR(SUM(Baseline!F6:F15)/COUNT(Baseline!C6:C15),"")</f>
        <v/>
      </c>
      <c r="C15" s="11">
        <f>IFERROR(SUM(Trial!K6:K25)/COUNT(Trial!H6:H25),"")</f>
        <v/>
      </c>
      <c r="D15" s="11">
        <f>IF(OR(B15="",C15=""),"",C15-B15)</f>
        <v/>
      </c>
    </row>
    <row r="16">
      <c r="A16" s="9" t="inlineStr">
        <is>
          <t>Credits used each run (average)</t>
        </is>
      </c>
      <c r="B16" s="11" t="n"/>
      <c r="C16" s="11">
        <f>IFERROR(AVERAGE(Trial!L6:L25),"")</f>
        <v/>
      </c>
      <c r="D16" s="11" t="n"/>
    </row>
    <row r="17">
      <c r="A17" s="9" t="inlineStr">
        <is>
          <t>Recipient's view: more useful (runs)</t>
        </is>
      </c>
      <c r="B17" s="10" t="n"/>
      <c r="C17" s="10">
        <f>COUNTIF(Trial!M6:M25,"More useful")</f>
        <v/>
      </c>
      <c r="D17" s="11" t="n"/>
    </row>
    <row r="18">
      <c r="A18" s="9" t="inlineStr">
        <is>
          <t>Recipient's view: about the same (runs)</t>
        </is>
      </c>
      <c r="B18" s="10" t="n"/>
      <c r="C18" s="10">
        <f>COUNTIF(Trial!M6:M25,"About the same")</f>
        <v/>
      </c>
      <c r="D18" s="11" t="n"/>
    </row>
    <row r="19">
      <c r="A19" s="9" t="inlineStr">
        <is>
          <t>Recipient's view: less useful (runs)</t>
        </is>
      </c>
      <c r="B19" s="10" t="n"/>
      <c r="C19" s="10">
        <f>COUNTIF(Trial!M6:M25,"Less useful")</f>
        <v/>
      </c>
      <c r="D19" s="11" t="n"/>
    </row>
    <row r="21">
      <c r="A21" s="12" t="inlineStr">
        <is>
          <t>Net time saved each occasion (minutes, after review, fixing, maintenance and rework)</t>
        </is>
      </c>
      <c r="B21" s="13">
        <f>IFERROR(B13-C13,"")</f>
        <v/>
      </c>
    </row>
    <row r="22">
      <c r="A22" s="12" t="inlineStr">
        <is>
          <t>How many times does the task happen each month?</t>
        </is>
      </c>
      <c r="B22" s="14" t="n">
        <v>4</v>
      </c>
    </row>
    <row r="23">
      <c r="A23" s="12" t="inlineStr">
        <is>
          <t>Net time saved each month (minutes)</t>
        </is>
      </c>
      <c r="B23" s="13">
        <f>IF(OR(B21="",B22=""),"",B21*B22)</f>
        <v/>
      </c>
    </row>
    <row r="25">
      <c r="A25" s="15" t="inlineStr">
        <is>
          <t>My test for success (write this BEFORE the trial)</t>
        </is>
      </c>
    </row>
    <row r="26" ht="32" customHeight="1">
      <c r="A26" s="2" t="inlineStr">
        <is>
          <t>Keep it if:</t>
        </is>
      </c>
      <c r="B26" s="7" t="inlineStr">
        <is>
          <t>It saves at least 15 minutes a week with no more errors reaching the reader.</t>
        </is>
      </c>
      <c r="C26" s="16" t="n"/>
      <c r="D26" s="17" t="n"/>
    </row>
    <row r="27" ht="32" customHeight="1">
      <c r="A27" s="2" t="inlineStr">
        <is>
          <t>Stop it if:</t>
        </is>
      </c>
      <c r="B27" s="7" t="inlineStr">
        <is>
          <t>It costs more time than it saves, or more errors reach Priya.</t>
        </is>
      </c>
      <c r="C27" s="16" t="n"/>
      <c r="D27" s="17" t="n"/>
    </row>
    <row r="28" ht="32" customHeight="1">
      <c r="A28" s="2" t="inlineStr">
        <is>
          <t>What the saved time is for:</t>
        </is>
      </c>
      <c r="B28" s="7" t="inlineStr">
        <is>
          <t>A 30-minute block on Monday afternoons to talk to team leaders.</t>
        </is>
      </c>
      <c r="C28" s="16" t="n"/>
      <c r="D28" s="17" t="n"/>
    </row>
    <row r="29" ht="32" customHeight="1">
      <c r="A29" s="2" t="inlineStr">
        <is>
          <t>Decision (Keep, Improve, or Stop):</t>
        </is>
      </c>
      <c r="B29" s="7" t="inlineStr">
        <is>
          <t>Keep</t>
        </is>
      </c>
      <c r="C29" s="16" t="n"/>
      <c r="D29" s="17" t="n"/>
    </row>
    <row r="30" ht="32" customHeight="1">
      <c r="A30" s="2" t="inlineStr">
        <is>
          <t>Reason for the decision:</t>
        </is>
      </c>
      <c r="B30" s="7" t="inlineStr">
        <is>
          <t>Saves about 16 minutes a run after maintenance and rework. Errors reaching the reader are no higher. Reduce the fixing time next.</t>
        </is>
      </c>
      <c r="C30" s="16" t="n"/>
      <c r="D30" s="17" t="n"/>
    </row>
    <row r="31" ht="32" customHeight="1">
      <c r="A31" s="2" t="inlineStr">
        <is>
          <t>Date to measure again:</t>
        </is>
      </c>
      <c r="B31" s="6" t="n">
        <v>46790</v>
      </c>
      <c r="C31" s="16" t="n"/>
      <c r="D31" s="17" t="n"/>
    </row>
  </sheetData>
  <mergeCells count="6">
    <mergeCell ref="B28:D28"/>
    <mergeCell ref="B31:D31"/>
    <mergeCell ref="B26:D26"/>
    <mergeCell ref="B27:D27"/>
    <mergeCell ref="B30:D30"/>
    <mergeCell ref="B29:D29"/>
  </mergeCells>
  <dataValidations count="1">
    <dataValidation sqref="B29" showDropDown="0" showInputMessage="0" showErrorMessage="0" allowBlank="1" type="list">
      <formula1>"Keep,Improve,Stop"</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1" t="inlineStr">
        <is>
          <t>Value tracker</t>
        </is>
      </c>
    </row>
    <row r="3">
      <c r="A3" s="18" t="inlineStr">
        <is>
          <t>Chapter 5.11 sample file, Microsoft Copilot Visual Bible, Book 5. Fictional.</t>
        </is>
      </c>
    </row>
    <row r="4">
      <c r="A4" s="18" t="inlineStr">
        <is>
          <t>Baseline sheet: record how the task goes now. Trial sheet: record the same task with Copilot, with each part of the time separately. Summary sheet: calculates the comparison. Yellow cells are for you to fill in. Blue cells are calculated.</t>
        </is>
      </c>
    </row>
    <row r="5">
      <c r="A5" s="18" t="inlineStr">
        <is>
          <t>Net time saved = baseline time minus the whole trial time (preparing, waiting, reviewing, fixing, and maintaining), taking rework into account. A first draft that takes seconds to produce does not count as the whole trial time.</t>
        </is>
      </c>
    </row>
    <row r="6">
      <c r="A6" s="18" t="inlineStr">
        <is>
          <t>Credits: type /cost after a Cowork run and note the credits used. Leave blank if your account doesn't show it.</t>
        </is>
      </c>
    </row>
    <row r="7">
      <c r="A7" s="18" t="inlineStr"/>
    </row>
    <row r="8">
      <c r="A8" s="18" t="inlineStr">
        <is>
          <t>THIS COPY HAS AN EXAMPLE. It reproduces the worked example in Chapter 5.11 (the Monday health check from Book 4) with invented figures: baseline 40 minutes; trial about 16 minutes of preparing, reviewing and fixing, plus 30 minutes of maintenance in the month; one error reached the reader in three baseline weeks and one in four trial runs. Credit figures are invented. Delete the example rows before you record your own routine. The blank copy is value-tracker.xlsx.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2026-10-10T08:28:19Z</dcterms:created>
  <dcterms:modified xmlns:dcterms="http://purl.org/dc/terms/" xmlns:xsi="http://www.w3.org/2001/XMLSchema-instance" xsi:type="dcterms:W3CDTF">2026-10-10T08:28:19Z</dcterms:modified>
</cp:coreProperties>
</file>