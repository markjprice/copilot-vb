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nses" sheetId="1" state="visible" r:id="rId3"/>
    <sheet name="Summary" sheetId="2" state="visible" r:id="rId4"/>
    <sheet name="About this fi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<sst xmlns="http://schemas.openxmlformats.org/spreadsheetml/2006/main" count="164" uniqueCount="76">
  <si>
    <t xml:space="preserve">Respondent ID</t>
  </si>
  <si>
    <t xml:space="preserve">Role</t>
  </si>
  <si>
    <t xml:space="preserve">Years on the team</t>
  </si>
  <si>
    <t xml:space="preserve">Q1. How interested are you in a three-month trial of a four-day work week?</t>
  </si>
  <si>
    <t xml:space="preserve">Q2. Which working pattern would you prefer?</t>
  </si>
  <si>
    <t xml:space="preserve">Q3. Which day would you most like off?</t>
  </si>
  <si>
    <t xml:space="preserve">Q4. What is your biggest concern?</t>
  </si>
  <si>
    <t xml:space="preserve">Q5. How soon would you want a trial to start once it is approved?</t>
  </si>
  <si>
    <t xml:space="preserve">Q6. How satisfied are you with your working hours now? (1 = very unhappy, 5 = very happy)</t>
  </si>
  <si>
    <t xml:space="preserve">Q7. Any other comments?</t>
  </si>
  <si>
    <t xml:space="preserve">R01</t>
  </si>
  <si>
    <t xml:space="preserve">Support agent</t>
  </si>
  <si>
    <t xml:space="preserve">Very interested</t>
  </si>
  <si>
    <t xml:space="preserve">Four 10-hour days (same total hours)</t>
  </si>
  <si>
    <t xml:space="preserve">Friday</t>
  </si>
  <si>
    <t xml:space="preserve">Longer working days</t>
  </si>
  <si>
    <t xml:space="preserve">Within 4 weeks</t>
  </si>
  <si>
    <t xml:space="preserve">I would happily work ten-hour days for a regular day off. My commute is an hour each way, so one fewer trip a week would help a lot.</t>
  </si>
  <si>
    <t xml:space="preserve">R02</t>
  </si>
  <si>
    <t xml:space="preserve">Four 8-hour days (same pay)</t>
  </si>
  <si>
    <t xml:space="preserve">Pay and benefits</t>
  </si>
  <si>
    <t xml:space="preserve">I'd love a shorter week, but I'm worried my pay would drop if my hours go down.</t>
  </si>
  <si>
    <t xml:space="preserve">R03</t>
  </si>
  <si>
    <t xml:space="preserve">Senior support agent</t>
  </si>
  <si>
    <t xml:space="preserve">Interested</t>
  </si>
  <si>
    <t xml:space="preserve">Rotating</t>
  </si>
  <si>
    <t xml:space="preserve">Covering absent colleagues</t>
  </si>
  <si>
    <t xml:space="preserve">Senior agents already cover for sick colleagues. A rota would need to protect the phones on busy Mondays.</t>
  </si>
  <si>
    <t xml:space="preserve">R04</t>
  </si>
  <si>
    <t xml:space="preserve">Not sure</t>
  </si>
  <si>
    <t xml:space="preserve">Keep five days</t>
  </si>
  <si>
    <t xml:space="preserve">Not applicable</t>
  </si>
  <si>
    <t xml:space="preserve">Customer waiting times</t>
  </si>
  <si>
    <t xml:space="preserve">4 to 8 weeks</t>
  </si>
  <si>
    <t xml:space="preserve">Customers already wait on busy mornings. I'd want proof that a four-day week wouldn't make that worse.</t>
  </si>
  <si>
    <t xml:space="preserve">R05</t>
  </si>
  <si>
    <t xml:space="preserve">Fewer hours would help me stay focused on calls. Customers deserve agents who aren't worn out by Thursday.</t>
  </si>
  <si>
    <t xml:space="preserve">R06</t>
  </si>
  <si>
    <t xml:space="preserve">Monday</t>
  </si>
  <si>
    <t xml:space="preserve">Fairness of days off</t>
  </si>
  <si>
    <t xml:space="preserve">New starters like me might not get the best day off. I'd like the rota to be fair to everyone.</t>
  </si>
  <si>
    <t xml:space="preserve">R07</t>
  </si>
  <si>
    <t xml:space="preserve">Ten hours on the phone is tiring. If we do that, I'd want longer breaks between calls.</t>
  </si>
  <si>
    <t xml:space="preserve">R08</t>
  </si>
  <si>
    <t xml:space="preserve">As long as someone always answers the phone within a minute, I'm in. Customers come first.</t>
  </si>
  <si>
    <t xml:space="preserve">R09</t>
  </si>
  <si>
    <t xml:space="preserve">Not interested</t>
  </si>
  <si>
    <t xml:space="preserve">I like my five-day routine. I don't want to cover extra calls for people on their day off.</t>
  </si>
  <si>
    <t xml:space="preserve">R10</t>
  </si>
  <si>
    <t xml:space="preserve">More than 8 weeks</t>
  </si>
  <si>
    <t xml:space="preserve">I need to know how this affects my pay and my holiday allowance before I decide.</t>
  </si>
  <si>
    <t xml:space="preserve">R11</t>
  </si>
  <si>
    <t xml:space="preserve">A three-month trial is fair. We should track call waiting times and customer satisfaction scores the whole way through.</t>
  </si>
  <si>
    <t xml:space="preserve">R12</t>
  </si>
  <si>
    <t xml:space="preserve">No concerns</t>
  </si>
  <si>
    <t xml:space="preserve">I'm open to it, but I'd rather wait until after the busy holiday season.</t>
  </si>
  <si>
    <t xml:space="preserve">Team survey summary: working hours</t>
  </si>
  <si>
    <t xml:space="preserve">All counts below are formulas that read the Responses sheet.</t>
  </si>
  <si>
    <t xml:space="preserve">Total responses</t>
  </si>
  <si>
    <t xml:space="preserve">People</t>
  </si>
  <si>
    <t xml:space="preserve">Share</t>
  </si>
  <si>
    <t xml:space="preserve">Total</t>
  </si>
  <si>
    <t xml:space="preserve">Average score (1 to 5)</t>
  </si>
  <si>
    <t xml:space="preserve">Lowest score</t>
  </si>
  <si>
    <t xml:space="preserve">Highest score</t>
  </si>
  <si>
    <t xml:space="preserve">About this file</t>
  </si>
  <si>
    <t xml:space="preserve">This is a fictional sample file for Microsoft Copilot Visual Bible, Book 1, Chapter 1.7.</t>
  </si>
  <si>
    <t xml:space="preserve">It contains made-up answers from 12 customer support staff to a short survey about working hours.</t>
  </si>
  <si>
    <t xml:space="preserve">Respondent IDs are anonymous. No real people, companies, or personal data are included.</t>
  </si>
  <si>
    <t xml:space="preserve">Sheets</t>
  </si>
  <si>
    <t xml:space="preserve">Responses: one row per person, with the survey questions as column headings.</t>
  </si>
  <si>
    <t xml:space="preserve">Summary: counts and percentages for each question, calculated with formulas.</t>
  </si>
  <si>
    <t xml:space="preserve">Survey background</t>
  </si>
  <si>
    <t xml:space="preserve">The support team has 12 people. They answer customer calls from 8 AM to 6 PM, Monday to Friday.</t>
  </si>
  <si>
    <t xml:space="preserve">Customers expect a reply within one working day.</t>
  </si>
  <si>
    <t xml:space="preserve">The survey ran in the week of March 2, 2026, before any decision about a trial.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</si>
</sst>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70"/>
  </cols>
  <sheetData>
    <row r="1" customFormat="false" ht="6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3.5" hidden="false" customHeight="true" outlineLevel="0" collapsed="false">
      <c r="A2" s="2" t="s">
        <v>10</v>
      </c>
      <c r="B2" s="2" t="s">
        <v>11</v>
      </c>
      <c r="C2" s="3" t="n">
        <v>3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n">
        <v>3</v>
      </c>
      <c r="J2" s="2" t="s">
        <v>17</v>
      </c>
    </row>
    <row r="3" customFormat="false" ht="43.5" hidden="false" customHeight="true" outlineLevel="0" collapsed="false">
      <c r="A3" s="4" t="s">
        <v>18</v>
      </c>
      <c r="B3" s="4" t="s">
        <v>11</v>
      </c>
      <c r="C3" s="5" t="n">
        <v>1</v>
      </c>
      <c r="D3" s="4" t="s">
        <v>12</v>
      </c>
      <c r="E3" s="4" t="s">
        <v>19</v>
      </c>
      <c r="F3" s="4" t="s">
        <v>14</v>
      </c>
      <c r="G3" s="4" t="s">
        <v>20</v>
      </c>
      <c r="H3" s="4" t="s">
        <v>16</v>
      </c>
      <c r="I3" s="5" t="n">
        <v>2</v>
      </c>
      <c r="J3" s="4" t="s">
        <v>21</v>
      </c>
    </row>
    <row r="4" customFormat="false" ht="43.5" hidden="false" customHeight="true" outlineLevel="0" collapsed="false">
      <c r="A4" s="2" t="s">
        <v>22</v>
      </c>
      <c r="B4" s="2" t="s">
        <v>23</v>
      </c>
      <c r="C4" s="3" t="n">
        <v>6</v>
      </c>
      <c r="D4" s="2" t="s">
        <v>24</v>
      </c>
      <c r="E4" s="2" t="s">
        <v>13</v>
      </c>
      <c r="F4" s="2" t="s">
        <v>25</v>
      </c>
      <c r="G4" s="2" t="s">
        <v>26</v>
      </c>
      <c r="H4" s="2" t="s">
        <v>16</v>
      </c>
      <c r="I4" s="3" t="n">
        <v>4</v>
      </c>
      <c r="J4" s="2" t="s">
        <v>27</v>
      </c>
    </row>
    <row r="5" customFormat="false" ht="43.5" hidden="false" customHeight="true" outlineLevel="0" collapsed="false">
      <c r="A5" s="4" t="s">
        <v>28</v>
      </c>
      <c r="B5" s="4" t="s">
        <v>11</v>
      </c>
      <c r="C5" s="5" t="n">
        <v>2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5" t="n">
        <v>3</v>
      </c>
      <c r="J5" s="4" t="s">
        <v>34</v>
      </c>
    </row>
    <row r="6" customFormat="false" ht="43.5" hidden="false" customHeight="true" outlineLevel="0" collapsed="false">
      <c r="A6" s="2" t="s">
        <v>35</v>
      </c>
      <c r="B6" s="2" t="s">
        <v>11</v>
      </c>
      <c r="C6" s="3" t="n">
        <v>4</v>
      </c>
      <c r="D6" s="2" t="s">
        <v>12</v>
      </c>
      <c r="E6" s="2" t="s">
        <v>19</v>
      </c>
      <c r="F6" s="2" t="s">
        <v>14</v>
      </c>
      <c r="G6" s="2" t="s">
        <v>32</v>
      </c>
      <c r="H6" s="2" t="s">
        <v>16</v>
      </c>
      <c r="I6" s="3" t="n">
        <v>3</v>
      </c>
      <c r="J6" s="2" t="s">
        <v>36</v>
      </c>
    </row>
    <row r="7" customFormat="false" ht="43.5" hidden="false" customHeight="true" outlineLevel="0" collapsed="false">
      <c r="A7" s="4" t="s">
        <v>37</v>
      </c>
      <c r="B7" s="4" t="s">
        <v>11</v>
      </c>
      <c r="C7" s="5" t="n">
        <v>0.5</v>
      </c>
      <c r="D7" s="4" t="s">
        <v>24</v>
      </c>
      <c r="E7" s="4" t="s">
        <v>19</v>
      </c>
      <c r="F7" s="4" t="s">
        <v>38</v>
      </c>
      <c r="G7" s="4" t="s">
        <v>39</v>
      </c>
      <c r="H7" s="4" t="s">
        <v>33</v>
      </c>
      <c r="I7" s="5" t="n">
        <v>4</v>
      </c>
      <c r="J7" s="4" t="s">
        <v>40</v>
      </c>
    </row>
    <row r="8" customFormat="false" ht="43.5" hidden="false" customHeight="true" outlineLevel="0" collapsed="false">
      <c r="A8" s="2" t="s">
        <v>41</v>
      </c>
      <c r="B8" s="2" t="s">
        <v>23</v>
      </c>
      <c r="C8" s="3" t="n">
        <v>8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3" t="n">
        <v>2</v>
      </c>
      <c r="J8" s="2" t="s">
        <v>42</v>
      </c>
    </row>
    <row r="9" customFormat="false" ht="43.5" hidden="false" customHeight="true" outlineLevel="0" collapsed="false">
      <c r="A9" s="4" t="s">
        <v>43</v>
      </c>
      <c r="B9" s="4" t="s">
        <v>11</v>
      </c>
      <c r="C9" s="5" t="n">
        <v>2</v>
      </c>
      <c r="D9" s="4" t="s">
        <v>24</v>
      </c>
      <c r="E9" s="4" t="s">
        <v>19</v>
      </c>
      <c r="F9" s="4" t="s">
        <v>25</v>
      </c>
      <c r="G9" s="4" t="s">
        <v>32</v>
      </c>
      <c r="H9" s="4" t="s">
        <v>33</v>
      </c>
      <c r="I9" s="5" t="n">
        <v>3</v>
      </c>
      <c r="J9" s="4" t="s">
        <v>44</v>
      </c>
    </row>
    <row r="10" customFormat="false" ht="43.5" hidden="false" customHeight="true" outlineLevel="0" collapsed="false">
      <c r="A10" s="2" t="s">
        <v>45</v>
      </c>
      <c r="B10" s="2" t="s">
        <v>11</v>
      </c>
      <c r="C10" s="3" t="n">
        <v>5</v>
      </c>
      <c r="D10" s="2" t="s">
        <v>46</v>
      </c>
      <c r="E10" s="2" t="s">
        <v>30</v>
      </c>
      <c r="F10" s="2" t="s">
        <v>31</v>
      </c>
      <c r="G10" s="2" t="s">
        <v>26</v>
      </c>
      <c r="H10" s="2" t="s">
        <v>33</v>
      </c>
      <c r="I10" s="3" t="n">
        <v>4</v>
      </c>
      <c r="J10" s="2" t="s">
        <v>47</v>
      </c>
    </row>
    <row r="11" customFormat="false" ht="43.5" hidden="false" customHeight="true" outlineLevel="0" collapsed="false">
      <c r="A11" s="4" t="s">
        <v>48</v>
      </c>
      <c r="B11" s="4" t="s">
        <v>11</v>
      </c>
      <c r="C11" s="5" t="n">
        <v>3</v>
      </c>
      <c r="D11" s="4" t="s">
        <v>29</v>
      </c>
      <c r="E11" s="4" t="s">
        <v>30</v>
      </c>
      <c r="F11" s="4" t="s">
        <v>31</v>
      </c>
      <c r="G11" s="4" t="s">
        <v>20</v>
      </c>
      <c r="H11" s="4" t="s">
        <v>49</v>
      </c>
      <c r="I11" s="5" t="n">
        <v>3</v>
      </c>
      <c r="J11" s="4" t="s">
        <v>50</v>
      </c>
    </row>
    <row r="12" customFormat="false" ht="43.5" hidden="false" customHeight="true" outlineLevel="0" collapsed="false">
      <c r="A12" s="2" t="s">
        <v>51</v>
      </c>
      <c r="B12" s="2" t="s">
        <v>23</v>
      </c>
      <c r="C12" s="3" t="n">
        <v>7</v>
      </c>
      <c r="D12" s="2" t="s">
        <v>12</v>
      </c>
      <c r="E12" s="2" t="s">
        <v>13</v>
      </c>
      <c r="F12" s="2" t="s">
        <v>38</v>
      </c>
      <c r="G12" s="2" t="s">
        <v>32</v>
      </c>
      <c r="H12" s="2" t="s">
        <v>16</v>
      </c>
      <c r="I12" s="3" t="n">
        <v>5</v>
      </c>
      <c r="J12" s="2" t="s">
        <v>52</v>
      </c>
    </row>
    <row r="13" customFormat="false" ht="43.5" hidden="false" customHeight="true" outlineLevel="0" collapsed="false">
      <c r="A13" s="4" t="s">
        <v>53</v>
      </c>
      <c r="B13" s="4" t="s">
        <v>11</v>
      </c>
      <c r="C13" s="5" t="n">
        <v>1</v>
      </c>
      <c r="D13" s="4" t="s">
        <v>29</v>
      </c>
      <c r="E13" s="4" t="s">
        <v>19</v>
      </c>
      <c r="F13" s="4" t="s">
        <v>25</v>
      </c>
      <c r="G13" s="4" t="s">
        <v>54</v>
      </c>
      <c r="H13" s="4" t="s">
        <v>49</v>
      </c>
      <c r="I13" s="5" t="n">
        <v>3</v>
      </c>
      <c r="J13" s="4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1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6" t="s">
        <v>56</v>
      </c>
    </row>
    <row r="2" customFormat="false" ht="15" hidden="false" customHeight="false" outlineLevel="0" collapsed="false">
      <c r="A2" s="7" t="s">
        <v>57</v>
      </c>
    </row>
    <row r="3" customFormat="false" ht="15" hidden="false" customHeight="false" outlineLevel="0" collapsed="false">
      <c r="A3" s="8" t="s">
        <v>58</v>
      </c>
      <c r="B3" s="9" t="n">
        <f aca="false">COUNTA(Responses!A2:A13)</f>
        <v>12</v>
      </c>
    </row>
    <row r="4" customFormat="false" ht="15" hidden="false" customHeight="false" outlineLevel="0" collapsed="false">
      <c r="A4" s="10"/>
    </row>
    <row r="5" customFormat="false" ht="15" hidden="false" customHeight="false" outlineLevel="0" collapsed="false">
      <c r="A5" s="11" t="s">
        <v>3</v>
      </c>
      <c r="B5" s="12" t="s">
        <v>59</v>
      </c>
      <c r="C5" s="12" t="s">
        <v>60</v>
      </c>
    </row>
    <row r="6" customFormat="false" ht="15" hidden="false" customHeight="false" outlineLevel="0" collapsed="false">
      <c r="A6" s="13" t="s">
        <v>12</v>
      </c>
      <c r="B6" s="14" t="n">
        <f aca="false">COUNTIF(Responses!$D$2:$D$13,A6)</f>
        <v>5</v>
      </c>
      <c r="C6" s="15" t="n">
        <f aca="false">B6/$B$3</f>
        <v>0.416666666666667</v>
      </c>
    </row>
    <row r="7" customFormat="false" ht="15" hidden="false" customHeight="false" outlineLevel="0" collapsed="false">
      <c r="A7" s="13" t="s">
        <v>24</v>
      </c>
      <c r="B7" s="14" t="n">
        <f aca="false">COUNTIF(Responses!$D$2:$D$13,A7)</f>
        <v>3</v>
      </c>
      <c r="C7" s="15" t="n">
        <f aca="false">B7/$B$3</f>
        <v>0.25</v>
      </c>
    </row>
    <row r="8" customFormat="false" ht="15" hidden="false" customHeight="false" outlineLevel="0" collapsed="false">
      <c r="A8" s="13" t="s">
        <v>29</v>
      </c>
      <c r="B8" s="14" t="n">
        <f aca="false">COUNTIF(Responses!$D$2:$D$13,A8)</f>
        <v>3</v>
      </c>
      <c r="C8" s="15" t="n">
        <f aca="false">B8/$B$3</f>
        <v>0.25</v>
      </c>
    </row>
    <row r="9" customFormat="false" ht="15" hidden="false" customHeight="false" outlineLevel="0" collapsed="false">
      <c r="A9" s="13" t="s">
        <v>46</v>
      </c>
      <c r="B9" s="14" t="n">
        <f aca="false">COUNTIF(Responses!$D$2:$D$13,A9)</f>
        <v>1</v>
      </c>
      <c r="C9" s="15" t="n">
        <f aca="false">B9/$B$3</f>
        <v>0.0833333333333333</v>
      </c>
    </row>
    <row r="10" customFormat="false" ht="15" hidden="false" customHeight="false" outlineLevel="0" collapsed="false">
      <c r="A10" s="8" t="s">
        <v>61</v>
      </c>
      <c r="B10" s="9" t="n">
        <f aca="false">SUM(B6:B9)</f>
        <v>12</v>
      </c>
      <c r="C10" s="16" t="n">
        <f aca="false">SUM(C6:C9)</f>
        <v>1</v>
      </c>
    </row>
    <row r="11" customFormat="false" ht="15" hidden="false" customHeight="false" outlineLevel="0" collapsed="false">
      <c r="A11" s="10"/>
    </row>
    <row r="12" customFormat="false" ht="15" hidden="false" customHeight="false" outlineLevel="0" collapsed="false">
      <c r="A12" s="11" t="s">
        <v>4</v>
      </c>
      <c r="B12" s="12" t="s">
        <v>59</v>
      </c>
      <c r="C12" s="12" t="s">
        <v>60</v>
      </c>
    </row>
    <row r="13" customFormat="false" ht="15" hidden="false" customHeight="false" outlineLevel="0" collapsed="false">
      <c r="A13" s="13" t="s">
        <v>13</v>
      </c>
      <c r="B13" s="14" t="n">
        <f aca="false">COUNTIF(Responses!$E$2:$E$13,A13)</f>
        <v>4</v>
      </c>
      <c r="C13" s="15" t="n">
        <f aca="false">B13/$B$3</f>
        <v>0.333333333333333</v>
      </c>
    </row>
    <row r="14" customFormat="false" ht="15" hidden="false" customHeight="false" outlineLevel="0" collapsed="false">
      <c r="A14" s="13" t="s">
        <v>19</v>
      </c>
      <c r="B14" s="14" t="n">
        <f aca="false">COUNTIF(Responses!$E$2:$E$13,A14)</f>
        <v>5</v>
      </c>
      <c r="C14" s="15" t="n">
        <f aca="false">B14/$B$3</f>
        <v>0.416666666666667</v>
      </c>
    </row>
    <row r="15" customFormat="false" ht="15" hidden="false" customHeight="false" outlineLevel="0" collapsed="false">
      <c r="A15" s="13" t="s">
        <v>30</v>
      </c>
      <c r="B15" s="14" t="n">
        <f aca="false">COUNTIF(Responses!$E$2:$E$13,A15)</f>
        <v>3</v>
      </c>
      <c r="C15" s="15" t="n">
        <f aca="false">B15/$B$3</f>
        <v>0.25</v>
      </c>
    </row>
    <row r="16" customFormat="false" ht="15" hidden="false" customHeight="false" outlineLevel="0" collapsed="false">
      <c r="A16" s="8" t="s">
        <v>61</v>
      </c>
      <c r="B16" s="9" t="n">
        <f aca="false">SUM(B13:B15)</f>
        <v>12</v>
      </c>
      <c r="C16" s="16" t="n">
        <f aca="false">SUM(C13:C15)</f>
        <v>1</v>
      </c>
    </row>
    <row r="17" customFormat="false" ht="15" hidden="false" customHeight="false" outlineLevel="0" collapsed="false">
      <c r="A17" s="10"/>
    </row>
    <row r="18" customFormat="false" ht="15" hidden="false" customHeight="false" outlineLevel="0" collapsed="false">
      <c r="A18" s="11" t="s">
        <v>5</v>
      </c>
      <c r="B18" s="12" t="s">
        <v>59</v>
      </c>
      <c r="C18" s="12" t="s">
        <v>60</v>
      </c>
    </row>
    <row r="19" customFormat="false" ht="15" hidden="false" customHeight="false" outlineLevel="0" collapsed="false">
      <c r="A19" s="13" t="s">
        <v>14</v>
      </c>
      <c r="B19" s="14" t="n">
        <f aca="false">COUNTIF(Responses!$F$2:$F$13,A19)</f>
        <v>4</v>
      </c>
      <c r="C19" s="15" t="n">
        <f aca="false">B19/$B$3</f>
        <v>0.333333333333333</v>
      </c>
    </row>
    <row r="20" customFormat="false" ht="15" hidden="false" customHeight="false" outlineLevel="0" collapsed="false">
      <c r="A20" s="13" t="s">
        <v>38</v>
      </c>
      <c r="B20" s="14" t="n">
        <f aca="false">COUNTIF(Responses!$F$2:$F$13,A20)</f>
        <v>2</v>
      </c>
      <c r="C20" s="15" t="n">
        <f aca="false">B20/$B$3</f>
        <v>0.166666666666667</v>
      </c>
    </row>
    <row r="21" customFormat="false" ht="15" hidden="false" customHeight="false" outlineLevel="0" collapsed="false">
      <c r="A21" s="13" t="s">
        <v>25</v>
      </c>
      <c r="B21" s="14" t="n">
        <f aca="false">COUNTIF(Responses!$F$2:$F$13,A21)</f>
        <v>3</v>
      </c>
      <c r="C21" s="15" t="n">
        <f aca="false">B21/$B$3</f>
        <v>0.25</v>
      </c>
    </row>
    <row r="22" customFormat="false" ht="15" hidden="false" customHeight="false" outlineLevel="0" collapsed="false">
      <c r="A22" s="13" t="s">
        <v>31</v>
      </c>
      <c r="B22" s="14" t="n">
        <f aca="false">COUNTIF(Responses!$F$2:$F$13,A22)</f>
        <v>3</v>
      </c>
      <c r="C22" s="15" t="n">
        <f aca="false">B22/$B$3</f>
        <v>0.25</v>
      </c>
    </row>
    <row r="23" customFormat="false" ht="15" hidden="false" customHeight="false" outlineLevel="0" collapsed="false">
      <c r="A23" s="8" t="s">
        <v>61</v>
      </c>
      <c r="B23" s="9" t="n">
        <f aca="false">SUM(B19:B22)</f>
        <v>12</v>
      </c>
      <c r="C23" s="16" t="n">
        <f aca="false">SUM(C19:C22)</f>
        <v>1</v>
      </c>
    </row>
    <row r="24" customFormat="false" ht="15" hidden="false" customHeight="false" outlineLevel="0" collapsed="false">
      <c r="A24" s="10"/>
    </row>
    <row r="25" customFormat="false" ht="15" hidden="false" customHeight="false" outlineLevel="0" collapsed="false">
      <c r="A25" s="11" t="s">
        <v>6</v>
      </c>
      <c r="B25" s="12" t="s">
        <v>59</v>
      </c>
      <c r="C25" s="12" t="s">
        <v>60</v>
      </c>
    </row>
    <row r="26" customFormat="false" ht="15" hidden="false" customHeight="false" outlineLevel="0" collapsed="false">
      <c r="A26" s="13" t="s">
        <v>32</v>
      </c>
      <c r="B26" s="14" t="n">
        <f aca="false">COUNTIF(Responses!$G$2:$G$13,A26)</f>
        <v>4</v>
      </c>
      <c r="C26" s="15" t="n">
        <f aca="false">B26/$B$3</f>
        <v>0.333333333333333</v>
      </c>
    </row>
    <row r="27" customFormat="false" ht="15" hidden="false" customHeight="false" outlineLevel="0" collapsed="false">
      <c r="A27" s="13" t="s">
        <v>15</v>
      </c>
      <c r="B27" s="14" t="n">
        <f aca="false">COUNTIF(Responses!$G$2:$G$13,A27)</f>
        <v>2</v>
      </c>
      <c r="C27" s="15" t="n">
        <f aca="false">B27/$B$3</f>
        <v>0.166666666666667</v>
      </c>
    </row>
    <row r="28" customFormat="false" ht="15" hidden="false" customHeight="false" outlineLevel="0" collapsed="false">
      <c r="A28" s="13" t="s">
        <v>26</v>
      </c>
      <c r="B28" s="14" t="n">
        <f aca="false">COUNTIF(Responses!$G$2:$G$13,A28)</f>
        <v>2</v>
      </c>
      <c r="C28" s="15" t="n">
        <f aca="false">B28/$B$3</f>
        <v>0.166666666666667</v>
      </c>
    </row>
    <row r="29" customFormat="false" ht="15" hidden="false" customHeight="false" outlineLevel="0" collapsed="false">
      <c r="A29" s="13" t="s">
        <v>20</v>
      </c>
      <c r="B29" s="14" t="n">
        <f aca="false">COUNTIF(Responses!$G$2:$G$13,A29)</f>
        <v>2</v>
      </c>
      <c r="C29" s="15" t="n">
        <f aca="false">B29/$B$3</f>
        <v>0.166666666666667</v>
      </c>
    </row>
    <row r="30" customFormat="false" ht="15" hidden="false" customHeight="false" outlineLevel="0" collapsed="false">
      <c r="A30" s="13" t="s">
        <v>39</v>
      </c>
      <c r="B30" s="14" t="n">
        <f aca="false">COUNTIF(Responses!$G$2:$G$13,A30)</f>
        <v>1</v>
      </c>
      <c r="C30" s="15" t="n">
        <f aca="false">B30/$B$3</f>
        <v>0.0833333333333333</v>
      </c>
    </row>
    <row r="31" customFormat="false" ht="15" hidden="false" customHeight="false" outlineLevel="0" collapsed="false">
      <c r="A31" s="13" t="s">
        <v>54</v>
      </c>
      <c r="B31" s="14" t="n">
        <f aca="false">COUNTIF(Responses!$G$2:$G$13,A31)</f>
        <v>1</v>
      </c>
      <c r="C31" s="15" t="n">
        <f aca="false">B31/$B$3</f>
        <v>0.0833333333333333</v>
      </c>
    </row>
    <row r="32" customFormat="false" ht="15" hidden="false" customHeight="false" outlineLevel="0" collapsed="false">
      <c r="A32" s="8" t="s">
        <v>61</v>
      </c>
      <c r="B32" s="9" t="n">
        <f aca="false">SUM(B26:B31)</f>
        <v>12</v>
      </c>
      <c r="C32" s="16" t="n">
        <f aca="false">SUM(C26:C31)</f>
        <v>1</v>
      </c>
    </row>
    <row r="33" customFormat="false" ht="15" hidden="false" customHeight="false" outlineLevel="0" collapsed="false">
      <c r="A33" s="10"/>
    </row>
    <row r="34" customFormat="false" ht="15" hidden="false" customHeight="false" outlineLevel="0" collapsed="false">
      <c r="A34" s="11" t="s">
        <v>7</v>
      </c>
      <c r="B34" s="12" t="s">
        <v>59</v>
      </c>
      <c r="C34" s="12" t="s">
        <v>60</v>
      </c>
    </row>
    <row r="35" customFormat="false" ht="15" hidden="false" customHeight="false" outlineLevel="0" collapsed="false">
      <c r="A35" s="13" t="s">
        <v>16</v>
      </c>
      <c r="B35" s="14" t="n">
        <f aca="false">COUNTIF(Responses!$H$2:$H$13,A35)</f>
        <v>6</v>
      </c>
      <c r="C35" s="15" t="n">
        <f aca="false">B35/$B$3</f>
        <v>0.5</v>
      </c>
    </row>
    <row r="36" customFormat="false" ht="15" hidden="false" customHeight="false" outlineLevel="0" collapsed="false">
      <c r="A36" s="13" t="s">
        <v>33</v>
      </c>
      <c r="B36" s="14" t="n">
        <f aca="false">COUNTIF(Responses!$H$2:$H$13,A36)</f>
        <v>4</v>
      </c>
      <c r="C36" s="15" t="n">
        <f aca="false">B36/$B$3</f>
        <v>0.333333333333333</v>
      </c>
    </row>
    <row r="37" customFormat="false" ht="15" hidden="false" customHeight="false" outlineLevel="0" collapsed="false">
      <c r="A37" s="13" t="s">
        <v>49</v>
      </c>
      <c r="B37" s="14" t="n">
        <f aca="false">COUNTIF(Responses!$H$2:$H$13,A37)</f>
        <v>2</v>
      </c>
      <c r="C37" s="15" t="n">
        <f aca="false">B37/$B$3</f>
        <v>0.166666666666667</v>
      </c>
    </row>
    <row r="38" customFormat="false" ht="15" hidden="false" customHeight="false" outlineLevel="0" collapsed="false">
      <c r="A38" s="8" t="s">
        <v>61</v>
      </c>
      <c r="B38" s="9" t="n">
        <f aca="false">SUM(B35:B37)</f>
        <v>12</v>
      </c>
      <c r="C38" s="16" t="n">
        <f aca="false">SUM(C35:C37)</f>
        <v>1</v>
      </c>
    </row>
    <row r="39" customFormat="false" ht="15" hidden="false" customHeight="false" outlineLevel="0" collapsed="false">
      <c r="A39" s="10"/>
    </row>
    <row r="40" customFormat="false" ht="23.85" hidden="false" customHeight="false" outlineLevel="0" collapsed="false">
      <c r="A40" s="11" t="s">
        <v>8</v>
      </c>
      <c r="B40" s="17"/>
      <c r="C40" s="17"/>
    </row>
    <row r="41" customFormat="false" ht="15" hidden="false" customHeight="false" outlineLevel="0" collapsed="false">
      <c r="A41" s="13" t="s">
        <v>62</v>
      </c>
      <c r="B41" s="18" t="n">
        <f aca="false">AVERAGE(Responses!I2:I13)</f>
        <v>3.25</v>
      </c>
    </row>
    <row r="42" customFormat="false" ht="15" hidden="false" customHeight="false" outlineLevel="0" collapsed="false">
      <c r="A42" s="13" t="s">
        <v>63</v>
      </c>
      <c r="B42" s="14" t="n">
        <f aca="false">MIN(Responses!I2:I13)</f>
        <v>2</v>
      </c>
    </row>
    <row r="43" customFormat="false" ht="15" hidden="false" customHeight="false" outlineLevel="0" collapsed="false">
      <c r="A43" s="13" t="s">
        <v>64</v>
      </c>
      <c r="B43" s="14" t="n">
        <f aca="false">MAX(Responses!I2:I13)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9" t="s">
        <v>65</v>
      </c>
    </row>
    <row r="2" customFormat="false" ht="15" hidden="false" customHeight="false" outlineLevel="0" collapsed="false">
      <c r="A2" s="20" t="s">
        <v>66</v>
      </c>
    </row>
    <row r="3" customFormat="false" ht="15" hidden="false" customHeight="false" outlineLevel="0" collapsed="false">
      <c r="A3" s="20" t="s">
        <v>67</v>
      </c>
    </row>
    <row r="4" customFormat="false" ht="15" hidden="false" customHeight="false" outlineLevel="0" collapsed="false">
      <c r="A4" s="20" t="s">
        <v>68</v>
      </c>
    </row>
    <row r="5" customFormat="false" ht="15" hidden="false" customHeight="false" outlineLevel="0" collapsed="false">
      <c r="A5" s="20"/>
    </row>
    <row r="6" customFormat="false" ht="15" hidden="false" customHeight="false" outlineLevel="0" collapsed="false">
      <c r="A6" s="9" t="s">
        <v>69</v>
      </c>
    </row>
    <row r="7" customFormat="false" ht="15" hidden="false" customHeight="false" outlineLevel="0" collapsed="false">
      <c r="A7" s="20" t="s">
        <v>70</v>
      </c>
    </row>
    <row r="8" customFormat="false" ht="15" hidden="false" customHeight="false" outlineLevel="0" collapsed="false">
      <c r="A8" s="20" t="s">
        <v>71</v>
      </c>
    </row>
    <row r="9" customFormat="false" ht="15" hidden="false" customHeight="false" outlineLevel="0" collapsed="false">
      <c r="A9" s="20"/>
    </row>
    <row r="10" customFormat="false" ht="15" hidden="false" customHeight="false" outlineLevel="0" collapsed="false">
      <c r="A10" s="9" t="s">
        <v>72</v>
      </c>
    </row>
    <row r="11" customFormat="false" ht="15" hidden="false" customHeight="false" outlineLevel="0" collapsed="false">
      <c r="A11" s="20" t="s">
        <v>73</v>
      </c>
    </row>
    <row r="12" customFormat="false" ht="15" hidden="false" customHeight="false" outlineLevel="0" collapsed="false">
      <c r="A12" s="20" t="s">
        <v>74</v>
      </c>
    </row>
    <row r="13" customFormat="false" ht="15" hidden="false" customHeight="false" outlineLevel="0" collapsed="false">
      <c r="A13" s="2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2026-10-05T08:59:03Z</dcterms:created>
  <dc:creator>openpyxl</dc:creator>
  <dc:description/>
  <dc:language>en-US</dc:language>
  <cp:lastModifiedBy/>
  <dcterms:modified xsi:type="dcterms:W3CDTF">2026-10-05T08:59:03Z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